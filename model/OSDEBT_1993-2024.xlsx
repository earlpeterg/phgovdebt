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yoda001\SDAD\Joann\DEBT STOCK MONTHLY\"/>
    </mc:Choice>
  </mc:AlternateContent>
  <xr:revisionPtr revIDLastSave="0" documentId="13_ncr:1_{525391E8-6126-4C0E-B109-EAFA615C6ABA}" xr6:coauthVersionLast="47" xr6:coauthVersionMax="47" xr10:uidLastSave="{00000000-0000-0000-0000-000000000000}"/>
  <bookViews>
    <workbookView xWindow="-120" yWindow="-120" windowWidth="29040" windowHeight="15720" tabRatio="1000" activeTab="1" xr2:uid="{00000000-000D-0000-FFFF-FFFF00000000}"/>
  </bookViews>
  <sheets>
    <sheet name="2024" sheetId="120" r:id="rId1"/>
    <sheet name="2024 (2)" sheetId="121" r:id="rId2"/>
    <sheet name="2023" sheetId="85" r:id="rId3"/>
    <sheet name="2023 (2)" sheetId="119" r:id="rId4"/>
    <sheet name="2022" sheetId="86" r:id="rId5"/>
    <sheet name="2022(2)" sheetId="118" r:id="rId6"/>
    <sheet name="2021" sheetId="87" r:id="rId7"/>
    <sheet name="2021 (2)" sheetId="117" r:id="rId8"/>
    <sheet name="2020" sheetId="40" r:id="rId9"/>
    <sheet name="2020 (2)" sheetId="116" r:id="rId10"/>
    <sheet name="2019" sheetId="37" r:id="rId11"/>
    <sheet name="2019 (2)" sheetId="115" r:id="rId12"/>
    <sheet name="2018" sheetId="35" r:id="rId13"/>
    <sheet name="2018 (2)" sheetId="114" r:id="rId14"/>
    <sheet name="2017" sheetId="33" r:id="rId15"/>
    <sheet name="2017 (2)" sheetId="113" r:id="rId16"/>
    <sheet name="2016" sheetId="30" r:id="rId17"/>
    <sheet name="2016 (2)" sheetId="112" r:id="rId18"/>
    <sheet name="2015" sheetId="24" r:id="rId19"/>
    <sheet name="2015 (2)" sheetId="111" r:id="rId20"/>
    <sheet name="2014" sheetId="41" r:id="rId21"/>
    <sheet name="2014 (2)" sheetId="110" r:id="rId22"/>
    <sheet name="2013 " sheetId="43" r:id="rId23"/>
    <sheet name="2013(2)" sheetId="109" r:id="rId24"/>
    <sheet name="2012" sheetId="45" r:id="rId25"/>
    <sheet name="2012(2)" sheetId="108" r:id="rId26"/>
    <sheet name="2011" sheetId="47" r:id="rId27"/>
    <sheet name="2011  (2)" sheetId="107" r:id="rId28"/>
    <sheet name="2010" sheetId="49" r:id="rId29"/>
    <sheet name="2010 (2)" sheetId="106" r:id="rId30"/>
    <sheet name="2009" sheetId="51" r:id="rId31"/>
    <sheet name="2009 (2)" sheetId="105" r:id="rId32"/>
    <sheet name="2008" sheetId="52" r:id="rId33"/>
    <sheet name="2008 (2)" sheetId="104" r:id="rId34"/>
    <sheet name="2007" sheetId="53" r:id="rId35"/>
    <sheet name=" 2007 (2)" sheetId="103" r:id="rId36"/>
    <sheet name="2006" sheetId="54" r:id="rId37"/>
    <sheet name="2006 (2)" sheetId="102" r:id="rId38"/>
    <sheet name="2005" sheetId="55" r:id="rId39"/>
    <sheet name="2005 (2)" sheetId="100" r:id="rId40"/>
    <sheet name="2004" sheetId="56" r:id="rId41"/>
    <sheet name="2004 (2)" sheetId="99" r:id="rId42"/>
    <sheet name="2003" sheetId="57" r:id="rId43"/>
    <sheet name=" 2003 (2)" sheetId="98" r:id="rId44"/>
    <sheet name="2002" sheetId="58" r:id="rId45"/>
    <sheet name=" 2002 (2)" sheetId="97" r:id="rId46"/>
    <sheet name="2001" sheetId="59" r:id="rId47"/>
    <sheet name="2001 (2)" sheetId="96" r:id="rId48"/>
    <sheet name="2000" sheetId="60" r:id="rId49"/>
    <sheet name=" 2000 (2)" sheetId="95" r:id="rId50"/>
    <sheet name="1999" sheetId="61" r:id="rId51"/>
    <sheet name="1999 (2)" sheetId="94" r:id="rId52"/>
    <sheet name="1998" sheetId="62" r:id="rId53"/>
    <sheet name=" 1998 (2)" sheetId="93" r:id="rId54"/>
    <sheet name="1997" sheetId="63" r:id="rId55"/>
    <sheet name=" 1997 (2)" sheetId="92" r:id="rId56"/>
    <sheet name="1996" sheetId="64" r:id="rId57"/>
    <sheet name=" 1996 (2)" sheetId="91" r:id="rId58"/>
    <sheet name="1995" sheetId="65" r:id="rId59"/>
    <sheet name="1995 (2)" sheetId="90" r:id="rId60"/>
    <sheet name="1994" sheetId="66" r:id="rId61"/>
    <sheet name="1994(2)" sheetId="89" r:id="rId62"/>
    <sheet name="1993" sheetId="67" r:id="rId63"/>
    <sheet name="1993 (2)" sheetId="88" r:id="rId64"/>
  </sheets>
  <externalReferences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xlnm.Print_Area" localSheetId="46">'2001'!$A$1:$X$43</definedName>
    <definedName name="_xlnm.Print_Area" localSheetId="40">'2004'!$A$1:$W$42</definedName>
    <definedName name="_xlnm.Print_Area" localSheetId="36">'2006'!$A$1:$W$42</definedName>
    <definedName name="_xlnm.Print_Area" localSheetId="34">'2007'!$A$1:$W$44</definedName>
    <definedName name="_xlnm.Print_Area" localSheetId="32">'2008'!$A$1:$W$42</definedName>
    <definedName name="_xlnm.Print_Area" localSheetId="30">'2009'!$A$1:$W$43</definedName>
    <definedName name="_xlnm.Print_Area" localSheetId="28">'2010'!$A$1:$Q$49</definedName>
    <definedName name="_xlnm.Print_Area" localSheetId="26">'2011'!$A$1:$R$41</definedName>
    <definedName name="_xlnm.Print_Area" localSheetId="27">'2011  (2)'!$A$65:$S$93</definedName>
    <definedName name="_xlnm.Print_Area" localSheetId="24">'2012'!$A$1:$Q$41</definedName>
    <definedName name="_xlnm.Print_Area" localSheetId="25">'2012(2)'!$A$1:$Q$91</definedName>
    <definedName name="_xlnm.Print_Area" localSheetId="22">'2013 '!$A$1:$Q$41</definedName>
    <definedName name="_xlnm.Print_Area" localSheetId="23">'2013(2)'!$A$65:$Q$97</definedName>
    <definedName name="_xlnm.Print_Area" localSheetId="20">'2014'!$A$1:$Q$41</definedName>
    <definedName name="_xlnm.Print_Area" localSheetId="21">'2014 (2)'!$A$61:$R$107</definedName>
    <definedName name="_xlnm.Print_Area" localSheetId="18">'2015'!$A$1:$Q$41</definedName>
    <definedName name="_xlnm.Print_Area" localSheetId="19">'2015 (2)'!$A$61:$Q$104</definedName>
    <definedName name="_xlnm.Print_Area" localSheetId="16">'2016'!$A$1:$Q$46</definedName>
    <definedName name="_xlnm.Print_Area" localSheetId="17">'2016 (2)'!$A$61:$Q$108</definedName>
    <definedName name="_xlnm.Print_Area" localSheetId="14">'2017'!$A$1:$Q$46</definedName>
    <definedName name="_xlnm.Print_Area" localSheetId="15">'2017 (2)'!$A$1:$Q$48</definedName>
    <definedName name="_xlnm.Print_Area" localSheetId="12">'2018'!$A$1:$Q$46</definedName>
    <definedName name="_xlnm.Print_Area" localSheetId="13">'2018 (2)'!$A$61:$Q$108</definedName>
    <definedName name="_xlnm.Print_Area" localSheetId="10">'2019'!$A$1:$Q$44</definedName>
    <definedName name="_xlnm.Print_Area" localSheetId="11">'2019 (2)'!$A$61:$Q$108</definedName>
    <definedName name="_xlnm.Print_Area" localSheetId="8">'2020'!$A$1:$Q$46</definedName>
    <definedName name="_xlnm.Print_Area" localSheetId="9">'2020 (2)'!$A$61:$Q$108</definedName>
    <definedName name="_xlnm.Print_Area" localSheetId="6">'2021'!$A$1:$Q$44</definedName>
    <definedName name="_xlnm.Print_Area" localSheetId="7">'2021 (2)'!$A$1:$Q$27</definedName>
    <definedName name="_xlnm.Print_Area" localSheetId="4">'2022'!$A$1:$Q$46</definedName>
    <definedName name="_xlnm.Print_Area" localSheetId="5">'2022(2)'!$A$1:$Q$27</definedName>
    <definedName name="_xlnm.Print_Area" localSheetId="2">'2023'!$A$1:$Q$46</definedName>
    <definedName name="_xlnm.Print_Area" localSheetId="3">'2023 (2)'!$A$61:$Q$103</definedName>
    <definedName name="_xlnm.Print_Area" localSheetId="0">'2024'!$A$1:$Q$35</definedName>
    <definedName name="_xlnm.Print_Area" localSheetId="1">'2024 (2)'!$A$1:$Q$82</definedName>
  </definedNames>
  <calcPr calcId="191029"/>
</workbook>
</file>

<file path=xl/calcChain.xml><?xml version="1.0" encoding="utf-8"?>
<calcChain xmlns="http://schemas.openxmlformats.org/spreadsheetml/2006/main">
  <c r="Q79" i="121" l="1"/>
  <c r="P79" i="121"/>
  <c r="O79" i="121"/>
  <c r="O76" i="121" s="1"/>
  <c r="N79" i="121"/>
  <c r="M79" i="121"/>
  <c r="M76" i="121" s="1"/>
  <c r="L79" i="121"/>
  <c r="L76" i="121" s="1"/>
  <c r="K79" i="121"/>
  <c r="K76" i="121" s="1"/>
  <c r="Q76" i="121"/>
  <c r="P76" i="121"/>
  <c r="N76" i="121"/>
  <c r="Q72" i="121"/>
  <c r="Q69" i="121" s="1"/>
  <c r="Q67" i="121" s="1"/>
  <c r="P72" i="121"/>
  <c r="P69" i="121" s="1"/>
  <c r="O72" i="121"/>
  <c r="O69" i="121" s="1"/>
  <c r="N72" i="121"/>
  <c r="M72" i="121"/>
  <c r="L72" i="121"/>
  <c r="L69" i="121" s="1"/>
  <c r="K72" i="121"/>
  <c r="K69" i="121" s="1"/>
  <c r="N69" i="121"/>
  <c r="M69" i="121"/>
  <c r="A62" i="121"/>
  <c r="O67" i="121" l="1"/>
  <c r="N67" i="121"/>
  <c r="L67" i="121"/>
  <c r="M67" i="121"/>
  <c r="P67" i="121"/>
  <c r="A103" i="119" l="1"/>
  <c r="Q79" i="119"/>
  <c r="Q76" i="119" s="1"/>
  <c r="P79" i="119"/>
  <c r="O79" i="119"/>
  <c r="N79" i="119"/>
  <c r="M79" i="119"/>
  <c r="L79" i="119"/>
  <c r="K79" i="119"/>
  <c r="J79" i="119"/>
  <c r="I79" i="119"/>
  <c r="H79" i="119"/>
  <c r="H76" i="119" s="1"/>
  <c r="G79" i="119"/>
  <c r="G76" i="119" s="1"/>
  <c r="F79" i="119"/>
  <c r="P76" i="119"/>
  <c r="O76" i="119"/>
  <c r="N76" i="119"/>
  <c r="M76" i="119"/>
  <c r="L76" i="119"/>
  <c r="K76" i="119"/>
  <c r="J76" i="119"/>
  <c r="J67" i="119" s="1"/>
  <c r="I76" i="119"/>
  <c r="I67" i="119" s="1"/>
  <c r="F76" i="119"/>
  <c r="Q72" i="119"/>
  <c r="P72" i="119"/>
  <c r="O72" i="119"/>
  <c r="N72" i="119"/>
  <c r="M72" i="119"/>
  <c r="L72" i="119"/>
  <c r="L69" i="119" s="1"/>
  <c r="L67" i="119" s="1"/>
  <c r="K72" i="119"/>
  <c r="K69" i="119" s="1"/>
  <c r="K67" i="119" s="1"/>
  <c r="J72" i="119"/>
  <c r="I72" i="119"/>
  <c r="H72" i="119"/>
  <c r="H69" i="119" s="1"/>
  <c r="H67" i="119" s="1"/>
  <c r="G72" i="119"/>
  <c r="G69" i="119" s="1"/>
  <c r="G67" i="119" s="1"/>
  <c r="F72" i="119"/>
  <c r="F69" i="119" s="1"/>
  <c r="F67" i="119" s="1"/>
  <c r="Q69" i="119"/>
  <c r="Q67" i="119" s="1"/>
  <c r="P69" i="119"/>
  <c r="P67" i="119" s="1"/>
  <c r="O69" i="119"/>
  <c r="O67" i="119" s="1"/>
  <c r="N69" i="119"/>
  <c r="N67" i="119" s="1"/>
  <c r="M69" i="119"/>
  <c r="M67" i="119" s="1"/>
  <c r="J69" i="119"/>
  <c r="I69" i="119"/>
  <c r="A62" i="119"/>
  <c r="F26" i="119"/>
  <c r="F22" i="119"/>
  <c r="F21" i="119"/>
  <c r="F15" i="119"/>
  <c r="F10" i="119"/>
  <c r="F8" i="119"/>
  <c r="F36" i="119" s="1"/>
  <c r="Q19" i="118"/>
  <c r="P19" i="118"/>
  <c r="O19" i="118"/>
  <c r="N19" i="118"/>
  <c r="M19" i="118"/>
  <c r="L19" i="118"/>
  <c r="K19" i="118"/>
  <c r="J19" i="118"/>
  <c r="I19" i="118"/>
  <c r="I16" i="118" s="1"/>
  <c r="H19" i="118"/>
  <c r="H16" i="118" s="1"/>
  <c r="G19" i="118"/>
  <c r="G16" i="118" s="1"/>
  <c r="F19" i="118"/>
  <c r="F16" i="118" s="1"/>
  <c r="Q16" i="118"/>
  <c r="P16" i="118"/>
  <c r="O16" i="118"/>
  <c r="N16" i="118"/>
  <c r="M16" i="118"/>
  <c r="L16" i="118"/>
  <c r="K16" i="118"/>
  <c r="J16" i="118"/>
  <c r="Q12" i="118"/>
  <c r="P12" i="118"/>
  <c r="O12" i="118"/>
  <c r="N12" i="118"/>
  <c r="M12" i="118"/>
  <c r="M9" i="118" s="1"/>
  <c r="M7" i="118" s="1"/>
  <c r="L12" i="118"/>
  <c r="L9" i="118" s="1"/>
  <c r="L7" i="118" s="1"/>
  <c r="K12" i="118"/>
  <c r="K9" i="118" s="1"/>
  <c r="K7" i="118" s="1"/>
  <c r="J12" i="118"/>
  <c r="J9" i="118" s="1"/>
  <c r="J7" i="118" s="1"/>
  <c r="I12" i="118"/>
  <c r="I9" i="118" s="1"/>
  <c r="I7" i="118" s="1"/>
  <c r="H12" i="118"/>
  <c r="H9" i="118" s="1"/>
  <c r="H7" i="118" s="1"/>
  <c r="G12" i="118"/>
  <c r="G9" i="118" s="1"/>
  <c r="G7" i="118" s="1"/>
  <c r="F12" i="118"/>
  <c r="F9" i="118" s="1"/>
  <c r="Q9" i="118"/>
  <c r="Q7" i="118" s="1"/>
  <c r="P9" i="118"/>
  <c r="P7" i="118" s="1"/>
  <c r="O9" i="118"/>
  <c r="O7" i="118" s="1"/>
  <c r="N9" i="118"/>
  <c r="N7" i="118" s="1"/>
  <c r="A2" i="118"/>
  <c r="Q19" i="117"/>
  <c r="P19" i="117"/>
  <c r="O19" i="117"/>
  <c r="N19" i="117"/>
  <c r="M19" i="117"/>
  <c r="L19" i="117"/>
  <c r="K19" i="117"/>
  <c r="J19" i="117"/>
  <c r="I19" i="117"/>
  <c r="H19" i="117"/>
  <c r="H16" i="117" s="1"/>
  <c r="G19" i="117"/>
  <c r="G16" i="117" s="1"/>
  <c r="F19" i="117"/>
  <c r="F16" i="117" s="1"/>
  <c r="Q16" i="117"/>
  <c r="P16" i="117"/>
  <c r="O16" i="117"/>
  <c r="N16" i="117"/>
  <c r="M16" i="117"/>
  <c r="M7" i="117" s="1"/>
  <c r="L16" i="117"/>
  <c r="K16" i="117"/>
  <c r="J16" i="117"/>
  <c r="I16" i="117"/>
  <c r="Q12" i="117"/>
  <c r="P12" i="117"/>
  <c r="O12" i="117"/>
  <c r="N12" i="117"/>
  <c r="M12" i="117"/>
  <c r="L12" i="117"/>
  <c r="L9" i="117" s="1"/>
  <c r="L7" i="117" s="1"/>
  <c r="K12" i="117"/>
  <c r="K9" i="117" s="1"/>
  <c r="K7" i="117" s="1"/>
  <c r="J12" i="117"/>
  <c r="J9" i="117" s="1"/>
  <c r="J7" i="117" s="1"/>
  <c r="I12" i="117"/>
  <c r="I9" i="117" s="1"/>
  <c r="I7" i="117" s="1"/>
  <c r="H12" i="117"/>
  <c r="H9" i="117" s="1"/>
  <c r="H7" i="117" s="1"/>
  <c r="G12" i="117"/>
  <c r="G9" i="117" s="1"/>
  <c r="G7" i="117" s="1"/>
  <c r="F12" i="117"/>
  <c r="F9" i="117" s="1"/>
  <c r="F7" i="117" s="1"/>
  <c r="Q9" i="117"/>
  <c r="Q7" i="117" s="1"/>
  <c r="P9" i="117"/>
  <c r="P7" i="117" s="1"/>
  <c r="O9" i="117"/>
  <c r="O7" i="117" s="1"/>
  <c r="N9" i="117"/>
  <c r="N7" i="117" s="1"/>
  <c r="M9" i="117"/>
  <c r="A2" i="117"/>
  <c r="Q79" i="116"/>
  <c r="P79" i="116"/>
  <c r="O79" i="116"/>
  <c r="N79" i="116"/>
  <c r="M79" i="116"/>
  <c r="L79" i="116"/>
  <c r="K79" i="116"/>
  <c r="J79" i="116"/>
  <c r="I79" i="116"/>
  <c r="I76" i="116" s="1"/>
  <c r="H79" i="116"/>
  <c r="H76" i="116" s="1"/>
  <c r="G79" i="116"/>
  <c r="G76" i="116" s="1"/>
  <c r="F79" i="116"/>
  <c r="F76" i="116" s="1"/>
  <c r="Q76" i="116"/>
  <c r="P76" i="116"/>
  <c r="O76" i="116"/>
  <c r="N76" i="116"/>
  <c r="M76" i="116"/>
  <c r="L76" i="116"/>
  <c r="K76" i="116"/>
  <c r="J76" i="116"/>
  <c r="Q72" i="116"/>
  <c r="P72" i="116"/>
  <c r="O72" i="116"/>
  <c r="N72" i="116"/>
  <c r="M72" i="116"/>
  <c r="M69" i="116" s="1"/>
  <c r="M67" i="116" s="1"/>
  <c r="L72" i="116"/>
  <c r="L69" i="116" s="1"/>
  <c r="L67" i="116" s="1"/>
  <c r="K72" i="116"/>
  <c r="K69" i="116" s="1"/>
  <c r="K67" i="116" s="1"/>
  <c r="J72" i="116"/>
  <c r="J69" i="116" s="1"/>
  <c r="J67" i="116" s="1"/>
  <c r="I72" i="116"/>
  <c r="I69" i="116" s="1"/>
  <c r="I67" i="116" s="1"/>
  <c r="H72" i="116"/>
  <c r="H69" i="116" s="1"/>
  <c r="G72" i="116"/>
  <c r="G69" i="116" s="1"/>
  <c r="F72" i="116"/>
  <c r="F69" i="116" s="1"/>
  <c r="Q69" i="116"/>
  <c r="Q67" i="116" s="1"/>
  <c r="P69" i="116"/>
  <c r="P67" i="116" s="1"/>
  <c r="O69" i="116"/>
  <c r="O67" i="116" s="1"/>
  <c r="N69" i="116"/>
  <c r="N67" i="116" s="1"/>
  <c r="A62" i="116"/>
  <c r="F26" i="116"/>
  <c r="F22" i="116"/>
  <c r="F21" i="116"/>
  <c r="F15" i="116"/>
  <c r="F8" i="116" s="1"/>
  <c r="F36" i="116" s="1"/>
  <c r="F10" i="116"/>
  <c r="Q79" i="115"/>
  <c r="P79" i="115"/>
  <c r="O79" i="115"/>
  <c r="N79" i="115"/>
  <c r="M79" i="115"/>
  <c r="L79" i="115"/>
  <c r="L76" i="115" s="1"/>
  <c r="K79" i="115"/>
  <c r="K76" i="115" s="1"/>
  <c r="J79" i="115"/>
  <c r="I79" i="115"/>
  <c r="I76" i="115" s="1"/>
  <c r="H79" i="115"/>
  <c r="H76" i="115" s="1"/>
  <c r="H67" i="115" s="1"/>
  <c r="G79" i="115"/>
  <c r="G76" i="115" s="1"/>
  <c r="G67" i="115" s="1"/>
  <c r="F79" i="115"/>
  <c r="F76" i="115" s="1"/>
  <c r="F67" i="115" s="1"/>
  <c r="Q76" i="115"/>
  <c r="Q67" i="115" s="1"/>
  <c r="P76" i="115"/>
  <c r="O76" i="115"/>
  <c r="N76" i="115"/>
  <c r="M76" i="115"/>
  <c r="J76" i="115"/>
  <c r="Q72" i="115"/>
  <c r="P72" i="115"/>
  <c r="O72" i="115"/>
  <c r="N72" i="115"/>
  <c r="M72" i="115"/>
  <c r="M69" i="115" s="1"/>
  <c r="M67" i="115" s="1"/>
  <c r="L72" i="115"/>
  <c r="L69" i="115" s="1"/>
  <c r="K72" i="115"/>
  <c r="K69" i="115" s="1"/>
  <c r="J72" i="115"/>
  <c r="J69" i="115" s="1"/>
  <c r="J67" i="115" s="1"/>
  <c r="I72" i="115"/>
  <c r="I69" i="115" s="1"/>
  <c r="H72" i="115"/>
  <c r="G72" i="115"/>
  <c r="F72" i="115"/>
  <c r="Q69" i="115"/>
  <c r="P69" i="115"/>
  <c r="O69" i="115"/>
  <c r="N69" i="115"/>
  <c r="H69" i="115"/>
  <c r="G69" i="115"/>
  <c r="F69" i="115"/>
  <c r="P67" i="115"/>
  <c r="O67" i="115"/>
  <c r="N67" i="115"/>
  <c r="A62" i="115"/>
  <c r="F26" i="115"/>
  <c r="F22" i="115"/>
  <c r="F21" i="115" s="1"/>
  <c r="F15" i="115"/>
  <c r="F10" i="115"/>
  <c r="F8" i="115"/>
  <c r="F36" i="115" s="1"/>
  <c r="Q79" i="114"/>
  <c r="P79" i="114"/>
  <c r="O79" i="114"/>
  <c r="N79" i="114"/>
  <c r="M79" i="114"/>
  <c r="L79" i="114"/>
  <c r="K79" i="114"/>
  <c r="J79" i="114"/>
  <c r="I79" i="114"/>
  <c r="I76" i="114" s="1"/>
  <c r="H79" i="114"/>
  <c r="H76" i="114" s="1"/>
  <c r="G79" i="114"/>
  <c r="G76" i="114" s="1"/>
  <c r="F79" i="114"/>
  <c r="F76" i="114" s="1"/>
  <c r="Q76" i="114"/>
  <c r="P76" i="114"/>
  <c r="O76" i="114"/>
  <c r="N76" i="114"/>
  <c r="M76" i="114"/>
  <c r="L76" i="114"/>
  <c r="K76" i="114"/>
  <c r="J76" i="114"/>
  <c r="Q72" i="114"/>
  <c r="P72" i="114"/>
  <c r="O72" i="114"/>
  <c r="N72" i="114"/>
  <c r="M72" i="114"/>
  <c r="M69" i="114" s="1"/>
  <c r="M67" i="114" s="1"/>
  <c r="L72" i="114"/>
  <c r="L69" i="114" s="1"/>
  <c r="L67" i="114" s="1"/>
  <c r="K72" i="114"/>
  <c r="K69" i="114" s="1"/>
  <c r="K67" i="114" s="1"/>
  <c r="J72" i="114"/>
  <c r="J69" i="114" s="1"/>
  <c r="J67" i="114" s="1"/>
  <c r="I72" i="114"/>
  <c r="I69" i="114" s="1"/>
  <c r="H72" i="114"/>
  <c r="H69" i="114" s="1"/>
  <c r="H67" i="114" s="1"/>
  <c r="G72" i="114"/>
  <c r="G69" i="114" s="1"/>
  <c r="G67" i="114" s="1"/>
  <c r="F72" i="114"/>
  <c r="F69" i="114" s="1"/>
  <c r="Q69" i="114"/>
  <c r="Q67" i="114" s="1"/>
  <c r="P69" i="114"/>
  <c r="P67" i="114" s="1"/>
  <c r="O69" i="114"/>
  <c r="O67" i="114" s="1"/>
  <c r="N69" i="114"/>
  <c r="N67" i="114" s="1"/>
  <c r="A62" i="114"/>
  <c r="F26" i="114"/>
  <c r="F22" i="114"/>
  <c r="F21" i="114"/>
  <c r="F15" i="114"/>
  <c r="F10" i="114"/>
  <c r="F8" i="114"/>
  <c r="F36" i="114" s="1"/>
  <c r="Q19" i="113"/>
  <c r="P19" i="113"/>
  <c r="O19" i="113"/>
  <c r="N19" i="113"/>
  <c r="M19" i="113"/>
  <c r="L19" i="113"/>
  <c r="K19" i="113"/>
  <c r="J19" i="113"/>
  <c r="I19" i="113"/>
  <c r="I16" i="113" s="1"/>
  <c r="H19" i="113"/>
  <c r="H16" i="113" s="1"/>
  <c r="G19" i="113"/>
  <c r="G16" i="113" s="1"/>
  <c r="F19" i="113"/>
  <c r="F16" i="113" s="1"/>
  <c r="Q16" i="113"/>
  <c r="P16" i="113"/>
  <c r="O16" i="113"/>
  <c r="N16" i="113"/>
  <c r="M16" i="113"/>
  <c r="L16" i="113"/>
  <c r="K16" i="113"/>
  <c r="J16" i="113"/>
  <c r="Q12" i="113"/>
  <c r="P12" i="113"/>
  <c r="O12" i="113"/>
  <c r="N12" i="113"/>
  <c r="M12" i="113"/>
  <c r="M9" i="113" s="1"/>
  <c r="M7" i="113" s="1"/>
  <c r="L12" i="113"/>
  <c r="L9" i="113" s="1"/>
  <c r="L7" i="113" s="1"/>
  <c r="K12" i="113"/>
  <c r="K9" i="113" s="1"/>
  <c r="K7" i="113" s="1"/>
  <c r="J12" i="113"/>
  <c r="J9" i="113" s="1"/>
  <c r="J7" i="113" s="1"/>
  <c r="I12" i="113"/>
  <c r="I9" i="113" s="1"/>
  <c r="I7" i="113" s="1"/>
  <c r="H12" i="113"/>
  <c r="H9" i="113" s="1"/>
  <c r="H7" i="113" s="1"/>
  <c r="G12" i="113"/>
  <c r="G9" i="113" s="1"/>
  <c r="G7" i="113" s="1"/>
  <c r="F12" i="113"/>
  <c r="F9" i="113" s="1"/>
  <c r="F7" i="113" s="1"/>
  <c r="Q9" i="113"/>
  <c r="Q7" i="113" s="1"/>
  <c r="P9" i="113"/>
  <c r="P7" i="113" s="1"/>
  <c r="O9" i="113"/>
  <c r="O7" i="113" s="1"/>
  <c r="N9" i="113"/>
  <c r="N7" i="113" s="1"/>
  <c r="A2" i="113"/>
  <c r="Q79" i="112"/>
  <c r="P79" i="112"/>
  <c r="O79" i="112"/>
  <c r="N79" i="112"/>
  <c r="M79" i="112"/>
  <c r="L79" i="112"/>
  <c r="K79" i="112"/>
  <c r="J79" i="112"/>
  <c r="I79" i="112"/>
  <c r="H79" i="112"/>
  <c r="G79" i="112"/>
  <c r="F79" i="112"/>
  <c r="F76" i="112" s="1"/>
  <c r="Q76" i="112"/>
  <c r="P76" i="112"/>
  <c r="O76" i="112"/>
  <c r="N76" i="112"/>
  <c r="M76" i="112"/>
  <c r="L76" i="112"/>
  <c r="K76" i="112"/>
  <c r="J76" i="112"/>
  <c r="I76" i="112"/>
  <c r="H76" i="112"/>
  <c r="G76" i="112"/>
  <c r="Q72" i="112"/>
  <c r="P72" i="112"/>
  <c r="O72" i="112"/>
  <c r="N72" i="112"/>
  <c r="M72" i="112"/>
  <c r="L72" i="112"/>
  <c r="K72" i="112"/>
  <c r="J72" i="112"/>
  <c r="J69" i="112" s="1"/>
  <c r="J67" i="112" s="1"/>
  <c r="I72" i="112"/>
  <c r="I69" i="112" s="1"/>
  <c r="I67" i="112" s="1"/>
  <c r="H72" i="112"/>
  <c r="H69" i="112" s="1"/>
  <c r="H67" i="112" s="1"/>
  <c r="G72" i="112"/>
  <c r="G69" i="112" s="1"/>
  <c r="G67" i="112" s="1"/>
  <c r="F72" i="112"/>
  <c r="F69" i="112" s="1"/>
  <c r="F67" i="112" s="1"/>
  <c r="Q69" i="112"/>
  <c r="Q67" i="112" s="1"/>
  <c r="P69" i="112"/>
  <c r="P67" i="112" s="1"/>
  <c r="O69" i="112"/>
  <c r="O67" i="112" s="1"/>
  <c r="N69" i="112"/>
  <c r="N67" i="112" s="1"/>
  <c r="M69" i="112"/>
  <c r="M67" i="112" s="1"/>
  <c r="L69" i="112"/>
  <c r="L67" i="112" s="1"/>
  <c r="K69" i="112"/>
  <c r="K67" i="112" s="1"/>
  <c r="A62" i="112"/>
  <c r="F26" i="112"/>
  <c r="F21" i="112" s="1"/>
  <c r="F36" i="112" s="1"/>
  <c r="F22" i="112"/>
  <c r="F15" i="112"/>
  <c r="F10" i="112"/>
  <c r="F8" i="112"/>
  <c r="Q79" i="111"/>
  <c r="Q76" i="111" s="1"/>
  <c r="P79" i="111"/>
  <c r="P76" i="111" s="1"/>
  <c r="O79" i="111"/>
  <c r="O76" i="111" s="1"/>
  <c r="N79" i="111"/>
  <c r="N76" i="111" s="1"/>
  <c r="M79" i="111"/>
  <c r="M76" i="111" s="1"/>
  <c r="L79" i="111"/>
  <c r="L76" i="111" s="1"/>
  <c r="K79" i="111"/>
  <c r="K76" i="111" s="1"/>
  <c r="J79" i="111"/>
  <c r="J76" i="111" s="1"/>
  <c r="I79" i="111"/>
  <c r="I76" i="111" s="1"/>
  <c r="H79" i="111"/>
  <c r="H76" i="111" s="1"/>
  <c r="G79" i="111"/>
  <c r="G76" i="111" s="1"/>
  <c r="F79" i="111"/>
  <c r="F76" i="111" s="1"/>
  <c r="J72" i="111"/>
  <c r="I72" i="111"/>
  <c r="H72" i="111"/>
  <c r="G72" i="111"/>
  <c r="F72" i="111"/>
  <c r="F69" i="111" s="1"/>
  <c r="F67" i="111" s="1"/>
  <c r="Q71" i="111"/>
  <c r="Q69" i="111" s="1"/>
  <c r="P71" i="111"/>
  <c r="P69" i="111" s="1"/>
  <c r="O71" i="111"/>
  <c r="O69" i="111" s="1"/>
  <c r="N71" i="111"/>
  <c r="N69" i="111" s="1"/>
  <c r="M71" i="111"/>
  <c r="M69" i="111" s="1"/>
  <c r="L71" i="111"/>
  <c r="L69" i="111" s="1"/>
  <c r="K71" i="111"/>
  <c r="K69" i="111" s="1"/>
  <c r="J71" i="111"/>
  <c r="I71" i="111"/>
  <c r="H71" i="111"/>
  <c r="G71" i="111"/>
  <c r="F71" i="111"/>
  <c r="A62" i="111"/>
  <c r="Q26" i="111"/>
  <c r="P26" i="111"/>
  <c r="O26" i="111"/>
  <c r="N26" i="111"/>
  <c r="M26" i="111"/>
  <c r="L26" i="111"/>
  <c r="K26" i="111"/>
  <c r="J26" i="111"/>
  <c r="I26" i="111"/>
  <c r="H26" i="111"/>
  <c r="G26" i="111"/>
  <c r="G21" i="111" s="1"/>
  <c r="F26" i="111"/>
  <c r="Q22" i="111"/>
  <c r="P22" i="111"/>
  <c r="O22" i="111"/>
  <c r="N22" i="111"/>
  <c r="M22" i="111"/>
  <c r="L22" i="111"/>
  <c r="K22" i="111"/>
  <c r="J22" i="111"/>
  <c r="I22" i="111"/>
  <c r="H22" i="111"/>
  <c r="G22" i="111"/>
  <c r="F22" i="111"/>
  <c r="F21" i="111"/>
  <c r="Q15" i="111"/>
  <c r="Q8" i="111" s="1"/>
  <c r="P15" i="111"/>
  <c r="O15" i="111"/>
  <c r="N15" i="111"/>
  <c r="M15" i="111"/>
  <c r="L15" i="111"/>
  <c r="K15" i="111"/>
  <c r="J15" i="111"/>
  <c r="I15" i="111"/>
  <c r="H15" i="111"/>
  <c r="G15" i="111"/>
  <c r="F15" i="111"/>
  <c r="Q10" i="111"/>
  <c r="P10" i="111"/>
  <c r="O10" i="111"/>
  <c r="N10" i="111"/>
  <c r="M10" i="111"/>
  <c r="L10" i="111"/>
  <c r="L8" i="111" s="1"/>
  <c r="K10" i="111"/>
  <c r="K8" i="111" s="1"/>
  <c r="J10" i="111"/>
  <c r="J8" i="111" s="1"/>
  <c r="I10" i="111"/>
  <c r="I8" i="111" s="1"/>
  <c r="H10" i="111"/>
  <c r="H8" i="111" s="1"/>
  <c r="G10" i="111"/>
  <c r="G8" i="111" s="1"/>
  <c r="F10" i="111"/>
  <c r="F8" i="111" s="1"/>
  <c r="G36" i="111" l="1"/>
  <c r="N8" i="111"/>
  <c r="H21" i="111"/>
  <c r="H36" i="111" s="1"/>
  <c r="P8" i="111"/>
  <c r="J69" i="111"/>
  <c r="J67" i="111" s="1"/>
  <c r="P21" i="111"/>
  <c r="Q67" i="111"/>
  <c r="O67" i="111"/>
  <c r="L21" i="111"/>
  <c r="L36" i="111" s="1"/>
  <c r="M21" i="111"/>
  <c r="N21" i="111"/>
  <c r="N36" i="111" s="1"/>
  <c r="H69" i="111"/>
  <c r="H67" i="111" s="1"/>
  <c r="O8" i="111"/>
  <c r="J21" i="111"/>
  <c r="K21" i="111"/>
  <c r="K36" i="111" s="1"/>
  <c r="G69" i="111"/>
  <c r="G67" i="111" s="1"/>
  <c r="O21" i="111"/>
  <c r="I69" i="111"/>
  <c r="I67" i="111" s="1"/>
  <c r="I21" i="111"/>
  <c r="I36" i="111" s="1"/>
  <c r="Q21" i="111"/>
  <c r="Q36" i="111" s="1"/>
  <c r="K67" i="111"/>
  <c r="L67" i="111"/>
  <c r="M67" i="111"/>
  <c r="F36" i="111"/>
  <c r="N67" i="111"/>
  <c r="P67" i="111"/>
  <c r="M8" i="111"/>
  <c r="M36" i="111" s="1"/>
  <c r="F7" i="118"/>
  <c r="H67" i="116"/>
  <c r="G67" i="116"/>
  <c r="F67" i="116"/>
  <c r="I67" i="115"/>
  <c r="K67" i="115"/>
  <c r="L67" i="115"/>
  <c r="F67" i="114"/>
  <c r="I67" i="114"/>
  <c r="P36" i="111"/>
  <c r="J36" i="111"/>
  <c r="O36" i="111" l="1"/>
  <c r="R79" i="110"/>
  <c r="Q79" i="110"/>
  <c r="P79" i="110"/>
  <c r="O79" i="110"/>
  <c r="O76" i="110" s="1"/>
  <c r="N79" i="110"/>
  <c r="M79" i="110"/>
  <c r="L79" i="110"/>
  <c r="L76" i="110" s="1"/>
  <c r="K79" i="110"/>
  <c r="K76" i="110" s="1"/>
  <c r="J79" i="110"/>
  <c r="J76" i="110" s="1"/>
  <c r="I79" i="110"/>
  <c r="I76" i="110" s="1"/>
  <c r="H79" i="110"/>
  <c r="H76" i="110" s="1"/>
  <c r="G79" i="110"/>
  <c r="G76" i="110" s="1"/>
  <c r="F79" i="110"/>
  <c r="F76" i="110" s="1"/>
  <c r="R76" i="110"/>
  <c r="Q76" i="110"/>
  <c r="P76" i="110"/>
  <c r="N76" i="110"/>
  <c r="M76" i="110"/>
  <c r="R72" i="110"/>
  <c r="Q72" i="110"/>
  <c r="Q69" i="110" s="1"/>
  <c r="P72" i="110"/>
  <c r="P69" i="110" s="1"/>
  <c r="O72" i="110"/>
  <c r="O69" i="110" s="1"/>
  <c r="N72" i="110"/>
  <c r="N69" i="110" s="1"/>
  <c r="M72" i="110"/>
  <c r="M69" i="110" s="1"/>
  <c r="L72" i="110"/>
  <c r="K72" i="110"/>
  <c r="J72" i="110"/>
  <c r="I72" i="110"/>
  <c r="H72" i="110"/>
  <c r="G72" i="110"/>
  <c r="G69" i="110" s="1"/>
  <c r="F72" i="110"/>
  <c r="F69" i="110" s="1"/>
  <c r="R71" i="110"/>
  <c r="R69" i="110" s="1"/>
  <c r="R67" i="110" s="1"/>
  <c r="L69" i="110"/>
  <c r="K69" i="110"/>
  <c r="K67" i="110" s="1"/>
  <c r="J69" i="110"/>
  <c r="J67" i="110" s="1"/>
  <c r="I69" i="110"/>
  <c r="I67" i="110" s="1"/>
  <c r="H69" i="110"/>
  <c r="H67" i="110" s="1"/>
  <c r="P26" i="110"/>
  <c r="O26" i="110"/>
  <c r="N26" i="110"/>
  <c r="M26" i="110"/>
  <c r="L26" i="110"/>
  <c r="K26" i="110"/>
  <c r="J26" i="110"/>
  <c r="I26" i="110"/>
  <c r="H26" i="110"/>
  <c r="G26" i="110"/>
  <c r="G21" i="110" s="1"/>
  <c r="F26" i="110"/>
  <c r="F21" i="110" s="1"/>
  <c r="P22" i="110"/>
  <c r="P21" i="110" s="1"/>
  <c r="O22" i="110"/>
  <c r="O21" i="110" s="1"/>
  <c r="N22" i="110"/>
  <c r="N21" i="110" s="1"/>
  <c r="M22" i="110"/>
  <c r="M21" i="110" s="1"/>
  <c r="L22" i="110"/>
  <c r="L21" i="110" s="1"/>
  <c r="K22" i="110"/>
  <c r="J22" i="110"/>
  <c r="I22" i="110"/>
  <c r="H22" i="110"/>
  <c r="G22" i="110"/>
  <c r="F22" i="110"/>
  <c r="P15" i="110"/>
  <c r="O15" i="110"/>
  <c r="N15" i="110"/>
  <c r="M15" i="110"/>
  <c r="L15" i="110"/>
  <c r="K15" i="110"/>
  <c r="J15" i="110"/>
  <c r="I15" i="110"/>
  <c r="H15" i="110"/>
  <c r="G15" i="110"/>
  <c r="F15" i="110"/>
  <c r="P10" i="110"/>
  <c r="O10" i="110"/>
  <c r="N10" i="110"/>
  <c r="M10" i="110"/>
  <c r="M8" i="110" s="1"/>
  <c r="L10" i="110"/>
  <c r="K10" i="110"/>
  <c r="J10" i="110"/>
  <c r="I10" i="110"/>
  <c r="H10" i="110"/>
  <c r="G10" i="110"/>
  <c r="F10" i="110"/>
  <c r="M36" i="110" l="1"/>
  <c r="I21" i="110"/>
  <c r="N8" i="110"/>
  <c r="F8" i="110"/>
  <c r="P8" i="110"/>
  <c r="J8" i="110"/>
  <c r="K8" i="110"/>
  <c r="L8" i="110"/>
  <c r="O8" i="110"/>
  <c r="H8" i="110"/>
  <c r="H36" i="110" s="1"/>
  <c r="L67" i="110"/>
  <c r="H21" i="110"/>
  <c r="J21" i="110"/>
  <c r="K21" i="110"/>
  <c r="G8" i="110"/>
  <c r="G36" i="110" s="1"/>
  <c r="I8" i="110"/>
  <c r="I36" i="110" s="1"/>
  <c r="K36" i="110"/>
  <c r="L36" i="110"/>
  <c r="F67" i="110"/>
  <c r="O36" i="110"/>
  <c r="M67" i="110"/>
  <c r="P67" i="110"/>
  <c r="F36" i="110"/>
  <c r="P36" i="110"/>
  <c r="O67" i="110"/>
  <c r="Q67" i="110"/>
  <c r="N36" i="110"/>
  <c r="N67" i="110"/>
  <c r="G67" i="110"/>
  <c r="J36" i="110" l="1"/>
  <c r="Q83" i="109"/>
  <c r="Q80" i="109" s="1"/>
  <c r="P83" i="109"/>
  <c r="P80" i="109" s="1"/>
  <c r="O83" i="109"/>
  <c r="O80" i="109" s="1"/>
  <c r="N83" i="109"/>
  <c r="N80" i="109" s="1"/>
  <c r="M83" i="109"/>
  <c r="L83" i="109"/>
  <c r="K83" i="109"/>
  <c r="K80" i="109" s="1"/>
  <c r="J83" i="109"/>
  <c r="I83" i="109"/>
  <c r="I80" i="109" s="1"/>
  <c r="H83" i="109"/>
  <c r="H80" i="109" s="1"/>
  <c r="G83" i="109"/>
  <c r="G80" i="109" s="1"/>
  <c r="F83" i="109"/>
  <c r="F80" i="109" s="1"/>
  <c r="M80" i="109"/>
  <c r="L80" i="109"/>
  <c r="J80" i="109"/>
  <c r="Q76" i="109"/>
  <c r="Q73" i="109" s="1"/>
  <c r="P76" i="109"/>
  <c r="P73" i="109" s="1"/>
  <c r="O76" i="109"/>
  <c r="O73" i="109" s="1"/>
  <c r="N76" i="109"/>
  <c r="N73" i="109" s="1"/>
  <c r="M76" i="109"/>
  <c r="M73" i="109" s="1"/>
  <c r="L76" i="109"/>
  <c r="L73" i="109" s="1"/>
  <c r="K76" i="109"/>
  <c r="K73" i="109" s="1"/>
  <c r="J76" i="109"/>
  <c r="J73" i="109" s="1"/>
  <c r="I76" i="109"/>
  <c r="I73" i="109" s="1"/>
  <c r="H76" i="109"/>
  <c r="H73" i="109" s="1"/>
  <c r="G76" i="109"/>
  <c r="G73" i="109" s="1"/>
  <c r="F76" i="109"/>
  <c r="F73" i="109" s="1"/>
  <c r="Q75" i="109"/>
  <c r="Q26" i="109"/>
  <c r="Q25" i="109" s="1"/>
  <c r="P26" i="109"/>
  <c r="P25" i="109" s="1"/>
  <c r="O26" i="109"/>
  <c r="O25" i="109" s="1"/>
  <c r="N26" i="109"/>
  <c r="N25" i="109" s="1"/>
  <c r="M26" i="109"/>
  <c r="M25" i="109" s="1"/>
  <c r="L26" i="109"/>
  <c r="L25" i="109" s="1"/>
  <c r="K26" i="109"/>
  <c r="K25" i="109" s="1"/>
  <c r="J26" i="109"/>
  <c r="J25" i="109" s="1"/>
  <c r="I26" i="109"/>
  <c r="I25" i="109" s="1"/>
  <c r="I20" i="109" s="1"/>
  <c r="H26" i="109"/>
  <c r="H25" i="109" s="1"/>
  <c r="H20" i="109" s="1"/>
  <c r="G26" i="109"/>
  <c r="F26" i="109"/>
  <c r="F25" i="109" s="1"/>
  <c r="G25" i="109"/>
  <c r="Q21" i="109"/>
  <c r="P21" i="109"/>
  <c r="O21" i="109"/>
  <c r="N21" i="109"/>
  <c r="M21" i="109"/>
  <c r="L21" i="109"/>
  <c r="K21" i="109"/>
  <c r="J21" i="109"/>
  <c r="I21" i="109"/>
  <c r="H21" i="109"/>
  <c r="G21" i="109"/>
  <c r="F21" i="109"/>
  <c r="Q14" i="109"/>
  <c r="P14" i="109"/>
  <c r="O14" i="109"/>
  <c r="N14" i="109"/>
  <c r="M14" i="109"/>
  <c r="L14" i="109"/>
  <c r="K14" i="109"/>
  <c r="J14" i="109"/>
  <c r="I14" i="109"/>
  <c r="H14" i="109"/>
  <c r="G14" i="109"/>
  <c r="F14" i="109"/>
  <c r="Q9" i="109"/>
  <c r="P9" i="109"/>
  <c r="O9" i="109"/>
  <c r="N9" i="109"/>
  <c r="M9" i="109"/>
  <c r="L9" i="109"/>
  <c r="K9" i="109"/>
  <c r="J9" i="109"/>
  <c r="I9" i="109"/>
  <c r="H9" i="109"/>
  <c r="G9" i="109"/>
  <c r="F9" i="109"/>
  <c r="Q83" i="108"/>
  <c r="Q80" i="108" s="1"/>
  <c r="P83" i="108"/>
  <c r="P80" i="108" s="1"/>
  <c r="O83" i="108"/>
  <c r="O80" i="108" s="1"/>
  <c r="N83" i="108"/>
  <c r="M83" i="108"/>
  <c r="L83" i="108"/>
  <c r="K83" i="108"/>
  <c r="J83" i="108"/>
  <c r="I83" i="108"/>
  <c r="I80" i="108" s="1"/>
  <c r="H83" i="108"/>
  <c r="H80" i="108" s="1"/>
  <c r="G83" i="108"/>
  <c r="G80" i="108" s="1"/>
  <c r="F83" i="108"/>
  <c r="F80" i="108" s="1"/>
  <c r="N80" i="108"/>
  <c r="M80" i="108"/>
  <c r="L80" i="108"/>
  <c r="K80" i="108"/>
  <c r="J80" i="108"/>
  <c r="Q76" i="108"/>
  <c r="Q73" i="108" s="1"/>
  <c r="Q71" i="108" s="1"/>
  <c r="P76" i="108"/>
  <c r="P73" i="108" s="1"/>
  <c r="O76" i="108"/>
  <c r="O73" i="108" s="1"/>
  <c r="N76" i="108"/>
  <c r="N73" i="108" s="1"/>
  <c r="N71" i="108" s="1"/>
  <c r="M76" i="108"/>
  <c r="M73" i="108" s="1"/>
  <c r="L76" i="108"/>
  <c r="L73" i="108" s="1"/>
  <c r="K76" i="108"/>
  <c r="K73" i="108" s="1"/>
  <c r="J76" i="108"/>
  <c r="J73" i="108" s="1"/>
  <c r="I76" i="108"/>
  <c r="H76" i="108"/>
  <c r="H73" i="108" s="1"/>
  <c r="G76" i="108"/>
  <c r="G73" i="108" s="1"/>
  <c r="F76" i="108"/>
  <c r="F73" i="108" s="1"/>
  <c r="Q75" i="108"/>
  <c r="I73" i="108"/>
  <c r="Q26" i="108"/>
  <c r="P26" i="108"/>
  <c r="P25" i="108" s="1"/>
  <c r="O26" i="108"/>
  <c r="O25" i="108" s="1"/>
  <c r="N26" i="108"/>
  <c r="N25" i="108" s="1"/>
  <c r="M26" i="108"/>
  <c r="M25" i="108" s="1"/>
  <c r="M20" i="108" s="1"/>
  <c r="L26" i="108"/>
  <c r="L25" i="108" s="1"/>
  <c r="L20" i="108" s="1"/>
  <c r="K26" i="108"/>
  <c r="K25" i="108" s="1"/>
  <c r="K20" i="108" s="1"/>
  <c r="J26" i="108"/>
  <c r="J25" i="108" s="1"/>
  <c r="I26" i="108"/>
  <c r="H26" i="108"/>
  <c r="G26" i="108"/>
  <c r="F26" i="108"/>
  <c r="Q25" i="108"/>
  <c r="I25" i="108"/>
  <c r="H25" i="108"/>
  <c r="G25" i="108"/>
  <c r="F25" i="108"/>
  <c r="Q21" i="108"/>
  <c r="Q20" i="108" s="1"/>
  <c r="P21" i="108"/>
  <c r="O21" i="108"/>
  <c r="N21" i="108"/>
  <c r="M21" i="108"/>
  <c r="L21" i="108"/>
  <c r="K21" i="108"/>
  <c r="J21" i="108"/>
  <c r="I21" i="108"/>
  <c r="I20" i="108" s="1"/>
  <c r="H21" i="108"/>
  <c r="H20" i="108" s="1"/>
  <c r="G21" i="108"/>
  <c r="G20" i="108" s="1"/>
  <c r="F21" i="108"/>
  <c r="Q14" i="108"/>
  <c r="P14" i="108"/>
  <c r="O14" i="108"/>
  <c r="N14" i="108"/>
  <c r="M14" i="108"/>
  <c r="L14" i="108"/>
  <c r="K14" i="108"/>
  <c r="J14" i="108"/>
  <c r="I14" i="108"/>
  <c r="H14" i="108"/>
  <c r="G14" i="108"/>
  <c r="G8" i="108" s="1"/>
  <c r="F14" i="108"/>
  <c r="Q9" i="108"/>
  <c r="Q8" i="108" s="1"/>
  <c r="P9" i="108"/>
  <c r="P8" i="108" s="1"/>
  <c r="O9" i="108"/>
  <c r="O8" i="108" s="1"/>
  <c r="N9" i="108"/>
  <c r="M9" i="108"/>
  <c r="L9" i="108"/>
  <c r="K9" i="108"/>
  <c r="J9" i="108"/>
  <c r="I9" i="108"/>
  <c r="H9" i="108"/>
  <c r="G9" i="108"/>
  <c r="F9" i="108"/>
  <c r="F8" i="108"/>
  <c r="R83" i="107"/>
  <c r="Q83" i="107"/>
  <c r="P83" i="107"/>
  <c r="O83" i="107"/>
  <c r="N83" i="107"/>
  <c r="M83" i="107"/>
  <c r="L83" i="107"/>
  <c r="K83" i="107"/>
  <c r="K80" i="107" s="1"/>
  <c r="J83" i="107"/>
  <c r="J80" i="107" s="1"/>
  <c r="I83" i="107"/>
  <c r="I80" i="107" s="1"/>
  <c r="H83" i="107"/>
  <c r="H80" i="107" s="1"/>
  <c r="G83" i="107"/>
  <c r="G80" i="107" s="1"/>
  <c r="F83" i="107"/>
  <c r="F80" i="107" s="1"/>
  <c r="R80" i="107"/>
  <c r="Q80" i="107"/>
  <c r="P80" i="107"/>
  <c r="O80" i="107"/>
  <c r="N80" i="107"/>
  <c r="M80" i="107"/>
  <c r="L80" i="107"/>
  <c r="R76" i="107"/>
  <c r="Q76" i="107"/>
  <c r="Q73" i="107" s="1"/>
  <c r="P76" i="107"/>
  <c r="P73" i="107" s="1"/>
  <c r="O76" i="107"/>
  <c r="O73" i="107" s="1"/>
  <c r="N76" i="107"/>
  <c r="N73" i="107" s="1"/>
  <c r="M76" i="107"/>
  <c r="M73" i="107" s="1"/>
  <c r="L76" i="107"/>
  <c r="L73" i="107" s="1"/>
  <c r="K76" i="107"/>
  <c r="K73" i="107" s="1"/>
  <c r="K71" i="107" s="1"/>
  <c r="J76" i="107"/>
  <c r="J73" i="107" s="1"/>
  <c r="I76" i="107"/>
  <c r="I73" i="107" s="1"/>
  <c r="H76" i="107"/>
  <c r="H73" i="107" s="1"/>
  <c r="G76" i="107"/>
  <c r="G73" i="107" s="1"/>
  <c r="F76" i="107"/>
  <c r="F73" i="107" s="1"/>
  <c r="R73" i="107"/>
  <c r="R26" i="107"/>
  <c r="R25" i="107" s="1"/>
  <c r="R20" i="107" s="1"/>
  <c r="Q26" i="107"/>
  <c r="Q25" i="107" s="1"/>
  <c r="Q20" i="107" s="1"/>
  <c r="P26" i="107"/>
  <c r="P25" i="107" s="1"/>
  <c r="O26" i="107"/>
  <c r="O25" i="107" s="1"/>
  <c r="N26" i="107"/>
  <c r="N25" i="107" s="1"/>
  <c r="M26" i="107"/>
  <c r="M25" i="107" s="1"/>
  <c r="L26" i="107"/>
  <c r="K26" i="107"/>
  <c r="J26" i="107"/>
  <c r="I26" i="107"/>
  <c r="I25" i="107" s="1"/>
  <c r="H26" i="107"/>
  <c r="H25" i="107" s="1"/>
  <c r="G26" i="107"/>
  <c r="G25" i="107" s="1"/>
  <c r="F26" i="107"/>
  <c r="F25" i="107" s="1"/>
  <c r="L25" i="107"/>
  <c r="K25" i="107"/>
  <c r="J25" i="107"/>
  <c r="J20" i="107" s="1"/>
  <c r="R21" i="107"/>
  <c r="Q21" i="107"/>
  <c r="P21" i="107"/>
  <c r="O21" i="107"/>
  <c r="N21" i="107"/>
  <c r="M21" i="107"/>
  <c r="L21" i="107"/>
  <c r="K21" i="107"/>
  <c r="J21" i="107"/>
  <c r="I21" i="107"/>
  <c r="H21" i="107"/>
  <c r="H20" i="107" s="1"/>
  <c r="G21" i="107"/>
  <c r="G20" i="107" s="1"/>
  <c r="F21" i="107"/>
  <c r="R14" i="107"/>
  <c r="Q14" i="107"/>
  <c r="P14" i="107"/>
  <c r="O14" i="107"/>
  <c r="N14" i="107"/>
  <c r="M14" i="107"/>
  <c r="L14" i="107"/>
  <c r="K14" i="107"/>
  <c r="J14" i="107"/>
  <c r="I14" i="107"/>
  <c r="I8" i="107" s="1"/>
  <c r="H14" i="107"/>
  <c r="G14" i="107"/>
  <c r="F14" i="107"/>
  <c r="R9" i="107"/>
  <c r="Q9" i="107"/>
  <c r="P9" i="107"/>
  <c r="O9" i="107"/>
  <c r="N9" i="107"/>
  <c r="M9" i="107"/>
  <c r="L9" i="107"/>
  <c r="K9" i="107"/>
  <c r="J9" i="107"/>
  <c r="I9" i="107"/>
  <c r="H9" i="107"/>
  <c r="G9" i="107"/>
  <c r="F9" i="107"/>
  <c r="F8" i="107" s="1"/>
  <c r="R8" i="107"/>
  <c r="Q8" i="107"/>
  <c r="P8" i="107"/>
  <c r="O8" i="107"/>
  <c r="Q19" i="106"/>
  <c r="Q16" i="106" s="1"/>
  <c r="P19" i="106"/>
  <c r="P16" i="106" s="1"/>
  <c r="O19" i="106"/>
  <c r="O16" i="106" s="1"/>
  <c r="N19" i="106"/>
  <c r="N16" i="106" s="1"/>
  <c r="M19" i="106"/>
  <c r="M16" i="106" s="1"/>
  <c r="L19" i="106"/>
  <c r="L16" i="106" s="1"/>
  <c r="K19" i="106"/>
  <c r="J19" i="106"/>
  <c r="I19" i="106"/>
  <c r="I16" i="106" s="1"/>
  <c r="H19" i="106"/>
  <c r="G19" i="106"/>
  <c r="F19" i="106"/>
  <c r="K16" i="106"/>
  <c r="J16" i="106"/>
  <c r="H16" i="106"/>
  <c r="G16" i="106"/>
  <c r="F16" i="106"/>
  <c r="Q12" i="106"/>
  <c r="Q9" i="106" s="1"/>
  <c r="P12" i="106"/>
  <c r="P9" i="106" s="1"/>
  <c r="P7" i="106" s="1"/>
  <c r="O12" i="106"/>
  <c r="O9" i="106" s="1"/>
  <c r="O7" i="106" s="1"/>
  <c r="N12" i="106"/>
  <c r="M12" i="106"/>
  <c r="L12" i="106"/>
  <c r="L9" i="106" s="1"/>
  <c r="L7" i="106" s="1"/>
  <c r="K12" i="106"/>
  <c r="J12" i="106"/>
  <c r="I12" i="106"/>
  <c r="H12" i="106"/>
  <c r="G12" i="106"/>
  <c r="G9" i="106" s="1"/>
  <c r="F12" i="106"/>
  <c r="F9" i="106" s="1"/>
  <c r="N9" i="106"/>
  <c r="M9" i="106"/>
  <c r="K9" i="106"/>
  <c r="J9" i="106"/>
  <c r="I9" i="106"/>
  <c r="H9" i="106"/>
  <c r="H7" i="106"/>
  <c r="R22" i="105"/>
  <c r="R20" i="105"/>
  <c r="R19" i="105"/>
  <c r="Q19" i="105"/>
  <c r="P19" i="105"/>
  <c r="O19" i="105"/>
  <c r="N19" i="105"/>
  <c r="M19" i="105"/>
  <c r="L19" i="105"/>
  <c r="L16" i="105" s="1"/>
  <c r="K19" i="105"/>
  <c r="K16" i="105" s="1"/>
  <c r="J19" i="105"/>
  <c r="J16" i="105" s="1"/>
  <c r="I19" i="105"/>
  <c r="I16" i="105" s="1"/>
  <c r="H19" i="105"/>
  <c r="H16" i="105" s="1"/>
  <c r="G19" i="105"/>
  <c r="G16" i="105" s="1"/>
  <c r="R16" i="105"/>
  <c r="Q16" i="105"/>
  <c r="P16" i="105"/>
  <c r="O16" i="105"/>
  <c r="N16" i="105"/>
  <c r="M16" i="105"/>
  <c r="R12" i="105"/>
  <c r="Q12" i="105"/>
  <c r="P12" i="105"/>
  <c r="P9" i="105" s="1"/>
  <c r="P7" i="105" s="1"/>
  <c r="O12" i="105"/>
  <c r="O9" i="105" s="1"/>
  <c r="O7" i="105" s="1"/>
  <c r="N12" i="105"/>
  <c r="N9" i="105" s="1"/>
  <c r="N7" i="105" s="1"/>
  <c r="M12" i="105"/>
  <c r="M9" i="105" s="1"/>
  <c r="M7" i="105" s="1"/>
  <c r="L12" i="105"/>
  <c r="L9" i="105" s="1"/>
  <c r="K12" i="105"/>
  <c r="K9" i="105" s="1"/>
  <c r="J12" i="105"/>
  <c r="J9" i="105" s="1"/>
  <c r="I12" i="105"/>
  <c r="I9" i="105" s="1"/>
  <c r="H12" i="105"/>
  <c r="H9" i="105" s="1"/>
  <c r="G12" i="105"/>
  <c r="G9" i="105" s="1"/>
  <c r="R9" i="105"/>
  <c r="R7" i="105" s="1"/>
  <c r="Q9" i="105"/>
  <c r="Q7" i="105" s="1"/>
  <c r="O22" i="104"/>
  <c r="O19" i="104" s="1"/>
  <c r="O16" i="104" s="1"/>
  <c r="I22" i="104"/>
  <c r="O20" i="104"/>
  <c r="I20" i="104"/>
  <c r="R19" i="104"/>
  <c r="Q19" i="104"/>
  <c r="P19" i="104"/>
  <c r="N19" i="104"/>
  <c r="M19" i="104"/>
  <c r="M16" i="104" s="1"/>
  <c r="L19" i="104"/>
  <c r="L16" i="104" s="1"/>
  <c r="K19" i="104"/>
  <c r="K16" i="104" s="1"/>
  <c r="J19" i="104"/>
  <c r="J16" i="104" s="1"/>
  <c r="I19" i="104"/>
  <c r="I16" i="104" s="1"/>
  <c r="H19" i="104"/>
  <c r="H16" i="104" s="1"/>
  <c r="G19" i="104"/>
  <c r="G16" i="104" s="1"/>
  <c r="R16" i="104"/>
  <c r="Q16" i="104"/>
  <c r="P16" i="104"/>
  <c r="N16" i="104"/>
  <c r="R12" i="104"/>
  <c r="R9" i="104" s="1"/>
  <c r="R7" i="104" s="1"/>
  <c r="Q12" i="104"/>
  <c r="Q9" i="104" s="1"/>
  <c r="Q7" i="104" s="1"/>
  <c r="P12" i="104"/>
  <c r="P9" i="104" s="1"/>
  <c r="O12" i="104"/>
  <c r="O9" i="104" s="1"/>
  <c r="N12" i="104"/>
  <c r="N9" i="104" s="1"/>
  <c r="M12" i="104"/>
  <c r="M9" i="104" s="1"/>
  <c r="L12" i="104"/>
  <c r="L9" i="104" s="1"/>
  <c r="K12" i="104"/>
  <c r="K9" i="104" s="1"/>
  <c r="J12" i="104"/>
  <c r="J9" i="104" s="1"/>
  <c r="I12" i="104"/>
  <c r="I9" i="104" s="1"/>
  <c r="H12" i="104"/>
  <c r="H9" i="104" s="1"/>
  <c r="G12" i="104"/>
  <c r="G9" i="104" s="1"/>
  <c r="R19" i="103"/>
  <c r="Q19" i="103"/>
  <c r="Q16" i="103" s="1"/>
  <c r="P19" i="103"/>
  <c r="P16" i="103" s="1"/>
  <c r="O19" i="103"/>
  <c r="O16" i="103" s="1"/>
  <c r="N19" i="103"/>
  <c r="N16" i="103" s="1"/>
  <c r="M19" i="103"/>
  <c r="M16" i="103" s="1"/>
  <c r="L19" i="103"/>
  <c r="K19" i="103"/>
  <c r="J19" i="103"/>
  <c r="I19" i="103"/>
  <c r="H19" i="103"/>
  <c r="G19" i="103"/>
  <c r="R16" i="103"/>
  <c r="L16" i="103"/>
  <c r="K16" i="103"/>
  <c r="J16" i="103"/>
  <c r="I16" i="103"/>
  <c r="H16" i="103"/>
  <c r="G16" i="103"/>
  <c r="R12" i="103"/>
  <c r="R9" i="103" s="1"/>
  <c r="R7" i="103" s="1"/>
  <c r="Q12" i="103"/>
  <c r="Q9" i="103" s="1"/>
  <c r="P12" i="103"/>
  <c r="O12" i="103"/>
  <c r="N12" i="103"/>
  <c r="M12" i="103"/>
  <c r="L12" i="103"/>
  <c r="K12" i="103"/>
  <c r="J12" i="103"/>
  <c r="I12" i="103"/>
  <c r="H12" i="103"/>
  <c r="H9" i="103" s="1"/>
  <c r="G12" i="103"/>
  <c r="G9" i="103" s="1"/>
  <c r="P9" i="103"/>
  <c r="P7" i="103" s="1"/>
  <c r="O9" i="103"/>
  <c r="O7" i="103" s="1"/>
  <c r="N9" i="103"/>
  <c r="N7" i="103" s="1"/>
  <c r="M9" i="103"/>
  <c r="M7" i="103" s="1"/>
  <c r="L9" i="103"/>
  <c r="L7" i="103" s="1"/>
  <c r="K9" i="103"/>
  <c r="K7" i="103" s="1"/>
  <c r="J9" i="103"/>
  <c r="J7" i="103" s="1"/>
  <c r="I9" i="103"/>
  <c r="I7" i="103" s="1"/>
  <c r="R19" i="102"/>
  <c r="R16" i="102" s="1"/>
  <c r="Q19" i="102"/>
  <c r="Q16" i="102" s="1"/>
  <c r="P19" i="102"/>
  <c r="P16" i="102" s="1"/>
  <c r="O19" i="102"/>
  <c r="O16" i="102" s="1"/>
  <c r="N19" i="102"/>
  <c r="N16" i="102" s="1"/>
  <c r="M19" i="102"/>
  <c r="M16" i="102" s="1"/>
  <c r="L19" i="102"/>
  <c r="K19" i="102"/>
  <c r="J19" i="102"/>
  <c r="I19" i="102"/>
  <c r="H19" i="102"/>
  <c r="G19" i="102"/>
  <c r="L16" i="102"/>
  <c r="K16" i="102"/>
  <c r="J16" i="102"/>
  <c r="I16" i="102"/>
  <c r="H16" i="102"/>
  <c r="G16" i="102"/>
  <c r="R12" i="102"/>
  <c r="R9" i="102" s="1"/>
  <c r="R7" i="102" s="1"/>
  <c r="Q12" i="102"/>
  <c r="Q9" i="102" s="1"/>
  <c r="Q7" i="102" s="1"/>
  <c r="P12" i="102"/>
  <c r="O12" i="102"/>
  <c r="O9" i="102" s="1"/>
  <c r="O7" i="102" s="1"/>
  <c r="N12" i="102"/>
  <c r="N9" i="102" s="1"/>
  <c r="M12" i="102"/>
  <c r="M9" i="102" s="1"/>
  <c r="L12" i="102"/>
  <c r="K12" i="102"/>
  <c r="J12" i="102"/>
  <c r="J9" i="102" s="1"/>
  <c r="I12" i="102"/>
  <c r="I9" i="102" s="1"/>
  <c r="H12" i="102"/>
  <c r="H9" i="102" s="1"/>
  <c r="G12" i="102"/>
  <c r="G9" i="102" s="1"/>
  <c r="P9" i="102"/>
  <c r="P7" i="102" s="1"/>
  <c r="L9" i="102"/>
  <c r="L7" i="102" s="1"/>
  <c r="K9" i="102"/>
  <c r="K7" i="102" s="1"/>
  <c r="P71" i="108" l="1"/>
  <c r="O71" i="108"/>
  <c r="G37" i="108"/>
  <c r="H8" i="108"/>
  <c r="H37" i="108" s="1"/>
  <c r="I8" i="108"/>
  <c r="I37" i="108" s="1"/>
  <c r="J8" i="108"/>
  <c r="K8" i="108"/>
  <c r="K37" i="108" s="1"/>
  <c r="J71" i="108"/>
  <c r="L8" i="108"/>
  <c r="L37" i="108" s="1"/>
  <c r="K71" i="108"/>
  <c r="M8" i="108"/>
  <c r="M37" i="108" s="1"/>
  <c r="F20" i="108"/>
  <c r="F37" i="108" s="1"/>
  <c r="L71" i="108"/>
  <c r="I71" i="108"/>
  <c r="N8" i="108"/>
  <c r="N37" i="108" s="1"/>
  <c r="J20" i="108"/>
  <c r="M71" i="108"/>
  <c r="G8" i="109"/>
  <c r="H8" i="109"/>
  <c r="F8" i="109"/>
  <c r="O71" i="109"/>
  <c r="P71" i="109"/>
  <c r="Q71" i="109"/>
  <c r="H37" i="109"/>
  <c r="I8" i="109"/>
  <c r="I37" i="109" s="1"/>
  <c r="J8" i="109"/>
  <c r="G20" i="109"/>
  <c r="H71" i="109"/>
  <c r="K20" i="109"/>
  <c r="J20" i="109"/>
  <c r="J37" i="109"/>
  <c r="G37" i="109"/>
  <c r="K8" i="109"/>
  <c r="K37" i="109" s="1"/>
  <c r="J71" i="109"/>
  <c r="M8" i="109"/>
  <c r="K71" i="109"/>
  <c r="N8" i="109"/>
  <c r="F20" i="109"/>
  <c r="F37" i="109" s="1"/>
  <c r="L71" i="109"/>
  <c r="L8" i="109"/>
  <c r="O8" i="109"/>
  <c r="M71" i="109"/>
  <c r="P8" i="109"/>
  <c r="L20" i="109"/>
  <c r="M20" i="109"/>
  <c r="G71" i="109"/>
  <c r="N71" i="109"/>
  <c r="Q8" i="109"/>
  <c r="N20" i="109"/>
  <c r="Q20" i="109"/>
  <c r="O20" i="109"/>
  <c r="P20" i="109"/>
  <c r="F71" i="109"/>
  <c r="I71" i="109"/>
  <c r="Q37" i="108"/>
  <c r="F71" i="108"/>
  <c r="H71" i="108"/>
  <c r="N20" i="108"/>
  <c r="P20" i="108"/>
  <c r="P37" i="108" s="1"/>
  <c r="O20" i="108"/>
  <c r="O37" i="108" s="1"/>
  <c r="G71" i="108"/>
  <c r="P20" i="107"/>
  <c r="N20" i="107"/>
  <c r="O37" i="107"/>
  <c r="R71" i="107"/>
  <c r="H71" i="107"/>
  <c r="I71" i="107"/>
  <c r="M8" i="107"/>
  <c r="L71" i="107"/>
  <c r="N71" i="107"/>
  <c r="P71" i="107"/>
  <c r="G8" i="107"/>
  <c r="G37" i="107" s="1"/>
  <c r="F71" i="107"/>
  <c r="L8" i="107"/>
  <c r="L37" i="107" s="1"/>
  <c r="N8" i="107"/>
  <c r="N37" i="107" s="1"/>
  <c r="I20" i="107"/>
  <c r="I37" i="107" s="1"/>
  <c r="O71" i="107"/>
  <c r="K20" i="107"/>
  <c r="Q71" i="107"/>
  <c r="M20" i="107"/>
  <c r="M37" i="107" s="1"/>
  <c r="O20" i="107"/>
  <c r="P37" i="107"/>
  <c r="H8" i="107"/>
  <c r="H37" i="107" s="1"/>
  <c r="J8" i="107"/>
  <c r="K8" i="107"/>
  <c r="M71" i="107"/>
  <c r="L20" i="107"/>
  <c r="Q37" i="107"/>
  <c r="G71" i="107"/>
  <c r="R37" i="107"/>
  <c r="J71" i="107"/>
  <c r="J37" i="107"/>
  <c r="F20" i="107"/>
  <c r="F37" i="107" s="1"/>
  <c r="Q7" i="106"/>
  <c r="J7" i="106"/>
  <c r="K7" i="106"/>
  <c r="F7" i="106"/>
  <c r="G7" i="106"/>
  <c r="I7" i="106"/>
  <c r="N7" i="106"/>
  <c r="M7" i="106"/>
  <c r="K7" i="105"/>
  <c r="G7" i="105"/>
  <c r="H7" i="105"/>
  <c r="I7" i="105"/>
  <c r="J7" i="105"/>
  <c r="L7" i="105"/>
  <c r="N7" i="104"/>
  <c r="O7" i="104"/>
  <c r="P7" i="104"/>
  <c r="J7" i="104"/>
  <c r="L7" i="104"/>
  <c r="G7" i="104"/>
  <c r="H7" i="104"/>
  <c r="I7" i="104"/>
  <c r="K7" i="104"/>
  <c r="M7" i="104"/>
  <c r="G7" i="103"/>
  <c r="H7" i="103"/>
  <c r="Q7" i="103"/>
  <c r="M7" i="102"/>
  <c r="N7" i="102"/>
  <c r="G7" i="102"/>
  <c r="H7" i="102"/>
  <c r="I7" i="102"/>
  <c r="J7" i="102"/>
  <c r="K7" i="96"/>
  <c r="I23" i="100"/>
  <c r="I22" i="100"/>
  <c r="I21" i="100"/>
  <c r="I20" i="100"/>
  <c r="R19" i="100"/>
  <c r="R16" i="100" s="1"/>
  <c r="Q19" i="100"/>
  <c r="P19" i="100"/>
  <c r="O19" i="100"/>
  <c r="N19" i="100"/>
  <c r="N16" i="100" s="1"/>
  <c r="M19" i="100"/>
  <c r="L19" i="100"/>
  <c r="L16" i="100" s="1"/>
  <c r="K19" i="100"/>
  <c r="K16" i="100" s="1"/>
  <c r="K7" i="100" s="1"/>
  <c r="J19" i="100"/>
  <c r="J16" i="100" s="1"/>
  <c r="I19" i="100"/>
  <c r="I16" i="100" s="1"/>
  <c r="H19" i="100"/>
  <c r="H16" i="100" s="1"/>
  <c r="G19" i="100"/>
  <c r="G16" i="100" s="1"/>
  <c r="G7" i="100" s="1"/>
  <c r="Q16" i="100"/>
  <c r="Q7" i="100" s="1"/>
  <c r="P16" i="100"/>
  <c r="O16" i="100"/>
  <c r="M16" i="100"/>
  <c r="R12" i="100"/>
  <c r="R9" i="100" s="1"/>
  <c r="Q12" i="100"/>
  <c r="P12" i="100"/>
  <c r="P9" i="100" s="1"/>
  <c r="O12" i="100"/>
  <c r="O9" i="100" s="1"/>
  <c r="N12" i="100"/>
  <c r="M12" i="100"/>
  <c r="M9" i="100" s="1"/>
  <c r="L12" i="100"/>
  <c r="L9" i="100" s="1"/>
  <c r="K12" i="100"/>
  <c r="J12" i="100"/>
  <c r="J9" i="100" s="1"/>
  <c r="I12" i="100"/>
  <c r="I9" i="100" s="1"/>
  <c r="H12" i="100"/>
  <c r="H9" i="100" s="1"/>
  <c r="G12" i="100"/>
  <c r="Q9" i="100"/>
  <c r="N9" i="100"/>
  <c r="Q23" i="99"/>
  <c r="Q22" i="99"/>
  <c r="Q21" i="99"/>
  <c r="Q20" i="99"/>
  <c r="R19" i="99"/>
  <c r="P19" i="99"/>
  <c r="O19" i="99"/>
  <c r="N19" i="99"/>
  <c r="N16" i="99" s="1"/>
  <c r="M19" i="99"/>
  <c r="M16" i="99" s="1"/>
  <c r="L19" i="99"/>
  <c r="L16" i="99" s="1"/>
  <c r="K19" i="99"/>
  <c r="K16" i="99" s="1"/>
  <c r="J19" i="99"/>
  <c r="J16" i="99" s="1"/>
  <c r="I19" i="99"/>
  <c r="I16" i="99" s="1"/>
  <c r="H19" i="99"/>
  <c r="H16" i="99" s="1"/>
  <c r="G19" i="99"/>
  <c r="G16" i="99" s="1"/>
  <c r="R16" i="99"/>
  <c r="P16" i="99"/>
  <c r="O16" i="99"/>
  <c r="R12" i="99"/>
  <c r="R9" i="99" s="1"/>
  <c r="R7" i="99" s="1"/>
  <c r="Q12" i="99"/>
  <c r="Q9" i="99" s="1"/>
  <c r="P12" i="99"/>
  <c r="P9" i="99" s="1"/>
  <c r="P7" i="99" s="1"/>
  <c r="O12" i="99"/>
  <c r="O9" i="99" s="1"/>
  <c r="N12" i="99"/>
  <c r="N9" i="99" s="1"/>
  <c r="M12" i="99"/>
  <c r="M9" i="99" s="1"/>
  <c r="L12" i="99"/>
  <c r="L9" i="99" s="1"/>
  <c r="K12" i="99"/>
  <c r="K9" i="99" s="1"/>
  <c r="J12" i="99"/>
  <c r="J9" i="99" s="1"/>
  <c r="I12" i="99"/>
  <c r="I9" i="99" s="1"/>
  <c r="H12" i="99"/>
  <c r="G12" i="99"/>
  <c r="G9" i="99" s="1"/>
  <c r="H11" i="99"/>
  <c r="R19" i="98"/>
  <c r="Q19" i="98"/>
  <c r="P19" i="98"/>
  <c r="O19" i="98"/>
  <c r="N19" i="98"/>
  <c r="M19" i="98"/>
  <c r="L19" i="98"/>
  <c r="K19" i="98"/>
  <c r="J19" i="98"/>
  <c r="J16" i="98" s="1"/>
  <c r="I19" i="98"/>
  <c r="I16" i="98" s="1"/>
  <c r="H19" i="98"/>
  <c r="H16" i="98" s="1"/>
  <c r="G19" i="98"/>
  <c r="G16" i="98" s="1"/>
  <c r="R16" i="98"/>
  <c r="Q16" i="98"/>
  <c r="P16" i="98"/>
  <c r="O16" i="98"/>
  <c r="N16" i="98"/>
  <c r="M16" i="98"/>
  <c r="L16" i="98"/>
  <c r="K16" i="98"/>
  <c r="R12" i="98"/>
  <c r="Q12" i="98"/>
  <c r="P12" i="98"/>
  <c r="O12" i="98"/>
  <c r="N12" i="98"/>
  <c r="N9" i="98" s="1"/>
  <c r="M12" i="98"/>
  <c r="M9" i="98" s="1"/>
  <c r="L12" i="98"/>
  <c r="L9" i="98" s="1"/>
  <c r="K12" i="98"/>
  <c r="K9" i="98" s="1"/>
  <c r="J12" i="98"/>
  <c r="J9" i="98" s="1"/>
  <c r="I12" i="98"/>
  <c r="I9" i="98" s="1"/>
  <c r="H12" i="98"/>
  <c r="H9" i="98" s="1"/>
  <c r="G12" i="98"/>
  <c r="G9" i="98" s="1"/>
  <c r="G7" i="98" s="1"/>
  <c r="R9" i="98"/>
  <c r="Q9" i="98"/>
  <c r="Q7" i="98" s="1"/>
  <c r="P9" i="98"/>
  <c r="P7" i="98" s="1"/>
  <c r="O9" i="98"/>
  <c r="O7" i="98" s="1"/>
  <c r="R19" i="97"/>
  <c r="Q19" i="97"/>
  <c r="P19" i="97"/>
  <c r="O19" i="97"/>
  <c r="N19" i="97"/>
  <c r="M19" i="97"/>
  <c r="L19" i="97"/>
  <c r="K19" i="97"/>
  <c r="J19" i="97"/>
  <c r="J16" i="97" s="1"/>
  <c r="I19" i="97"/>
  <c r="I16" i="97" s="1"/>
  <c r="H19" i="97"/>
  <c r="H16" i="97" s="1"/>
  <c r="G19" i="97"/>
  <c r="G16" i="97" s="1"/>
  <c r="R16" i="97"/>
  <c r="Q16" i="97"/>
  <c r="P16" i="97"/>
  <c r="O16" i="97"/>
  <c r="N16" i="97"/>
  <c r="M16" i="97"/>
  <c r="L16" i="97"/>
  <c r="K16" i="97"/>
  <c r="R12" i="97"/>
  <c r="Q12" i="97"/>
  <c r="P12" i="97"/>
  <c r="O12" i="97"/>
  <c r="N12" i="97"/>
  <c r="N9" i="97" s="1"/>
  <c r="N7" i="97" s="1"/>
  <c r="M12" i="97"/>
  <c r="M9" i="97" s="1"/>
  <c r="M7" i="97" s="1"/>
  <c r="L12" i="97"/>
  <c r="L9" i="97" s="1"/>
  <c r="L7" i="97" s="1"/>
  <c r="K12" i="97"/>
  <c r="K9" i="97" s="1"/>
  <c r="K7" i="97" s="1"/>
  <c r="J12" i="97"/>
  <c r="J9" i="97" s="1"/>
  <c r="J7" i="97" s="1"/>
  <c r="I12" i="97"/>
  <c r="I9" i="97" s="1"/>
  <c r="I7" i="97" s="1"/>
  <c r="H12" i="97"/>
  <c r="H9" i="97" s="1"/>
  <c r="H7" i="97" s="1"/>
  <c r="G12" i="97"/>
  <c r="G9" i="97" s="1"/>
  <c r="G7" i="97" s="1"/>
  <c r="R9" i="97"/>
  <c r="R7" i="97" s="1"/>
  <c r="Q9" i="97"/>
  <c r="Q7" i="97" s="1"/>
  <c r="P9" i="97"/>
  <c r="P7" i="97" s="1"/>
  <c r="O9" i="97"/>
  <c r="O7" i="97" s="1"/>
  <c r="R19" i="96"/>
  <c r="R16" i="96" s="1"/>
  <c r="Q19" i="96"/>
  <c r="P19" i="96"/>
  <c r="P16" i="96" s="1"/>
  <c r="O19" i="96"/>
  <c r="N19" i="96"/>
  <c r="M19" i="96"/>
  <c r="L19" i="96"/>
  <c r="K19" i="96"/>
  <c r="J19" i="96"/>
  <c r="J16" i="96" s="1"/>
  <c r="I19" i="96"/>
  <c r="H19" i="96"/>
  <c r="G19" i="96"/>
  <c r="G16" i="96" s="1"/>
  <c r="Q16" i="96"/>
  <c r="O16" i="96"/>
  <c r="N16" i="96"/>
  <c r="M16" i="96"/>
  <c r="L16" i="96"/>
  <c r="K16" i="96"/>
  <c r="I16" i="96"/>
  <c r="H16" i="96"/>
  <c r="R12" i="96"/>
  <c r="Q12" i="96"/>
  <c r="P12" i="96"/>
  <c r="O12" i="96"/>
  <c r="N12" i="96"/>
  <c r="N9" i="96" s="1"/>
  <c r="M12" i="96"/>
  <c r="L12" i="96"/>
  <c r="K12" i="96"/>
  <c r="K9" i="96" s="1"/>
  <c r="J12" i="96"/>
  <c r="J9" i="96" s="1"/>
  <c r="J7" i="96" s="1"/>
  <c r="I12" i="96"/>
  <c r="I9" i="96" s="1"/>
  <c r="H12" i="96"/>
  <c r="H9" i="96" s="1"/>
  <c r="G12" i="96"/>
  <c r="G9" i="96" s="1"/>
  <c r="G7" i="96" s="1"/>
  <c r="R9" i="96"/>
  <c r="Q9" i="96"/>
  <c r="Q7" i="96" s="1"/>
  <c r="P9" i="96"/>
  <c r="P7" i="96" s="1"/>
  <c r="O9" i="96"/>
  <c r="O7" i="96" s="1"/>
  <c r="M9" i="96"/>
  <c r="M7" i="96" s="1"/>
  <c r="L9" i="96"/>
  <c r="L7" i="96" s="1"/>
  <c r="R19" i="95"/>
  <c r="R16" i="95" s="1"/>
  <c r="Q19" i="95"/>
  <c r="Q16" i="95" s="1"/>
  <c r="P19" i="95"/>
  <c r="O19" i="95"/>
  <c r="N19" i="95"/>
  <c r="M19" i="95"/>
  <c r="L19" i="95"/>
  <c r="K19" i="95"/>
  <c r="J19" i="95"/>
  <c r="J16" i="95" s="1"/>
  <c r="I19" i="95"/>
  <c r="H19" i="95"/>
  <c r="G19" i="95"/>
  <c r="G16" i="95" s="1"/>
  <c r="P16" i="95"/>
  <c r="O16" i="95"/>
  <c r="N16" i="95"/>
  <c r="M16" i="95"/>
  <c r="L16" i="95"/>
  <c r="L7" i="95" s="1"/>
  <c r="K16" i="95"/>
  <c r="I16" i="95"/>
  <c r="H16" i="95"/>
  <c r="R12" i="95"/>
  <c r="Q12" i="95"/>
  <c r="P12" i="95"/>
  <c r="O12" i="95"/>
  <c r="N12" i="95"/>
  <c r="N9" i="95" s="1"/>
  <c r="M12" i="95"/>
  <c r="L12" i="95"/>
  <c r="K12" i="95"/>
  <c r="K9" i="95" s="1"/>
  <c r="J12" i="95"/>
  <c r="J9" i="95" s="1"/>
  <c r="J7" i="95" s="1"/>
  <c r="I12" i="95"/>
  <c r="I9" i="95" s="1"/>
  <c r="H12" i="95"/>
  <c r="H9" i="95" s="1"/>
  <c r="G12" i="95"/>
  <c r="G9" i="95" s="1"/>
  <c r="G7" i="95" s="1"/>
  <c r="R9" i="95"/>
  <c r="Q9" i="95"/>
  <c r="P9" i="95"/>
  <c r="P7" i="95" s="1"/>
  <c r="O9" i="95"/>
  <c r="O7" i="95" s="1"/>
  <c r="M9" i="95"/>
  <c r="L9" i="95"/>
  <c r="R19" i="94"/>
  <c r="R16" i="94" s="1"/>
  <c r="Q19" i="94"/>
  <c r="Q16" i="94" s="1"/>
  <c r="P19" i="94"/>
  <c r="P16" i="94" s="1"/>
  <c r="O19" i="94"/>
  <c r="O16" i="94" s="1"/>
  <c r="N19" i="94"/>
  <c r="N16" i="94" s="1"/>
  <c r="M19" i="94"/>
  <c r="L19" i="94"/>
  <c r="K19" i="94"/>
  <c r="J19" i="94"/>
  <c r="J16" i="94" s="1"/>
  <c r="I19" i="94"/>
  <c r="I16" i="94" s="1"/>
  <c r="H19" i="94"/>
  <c r="H16" i="94" s="1"/>
  <c r="G19" i="94"/>
  <c r="G16" i="94" s="1"/>
  <c r="M16" i="94"/>
  <c r="L16" i="94"/>
  <c r="K16" i="94"/>
  <c r="R12" i="94"/>
  <c r="R9" i="94" s="1"/>
  <c r="Q12" i="94"/>
  <c r="Q9" i="94" s="1"/>
  <c r="P12" i="94"/>
  <c r="P9" i="94" s="1"/>
  <c r="O12" i="94"/>
  <c r="O9" i="94" s="1"/>
  <c r="N12" i="94"/>
  <c r="N9" i="94" s="1"/>
  <c r="M12" i="94"/>
  <c r="M9" i="94" s="1"/>
  <c r="L12" i="94"/>
  <c r="L9" i="94" s="1"/>
  <c r="K12" i="94"/>
  <c r="K9" i="94" s="1"/>
  <c r="J12" i="94"/>
  <c r="J9" i="94" s="1"/>
  <c r="J7" i="94" s="1"/>
  <c r="I12" i="94"/>
  <c r="I9" i="94" s="1"/>
  <c r="I7" i="94" s="1"/>
  <c r="H12" i="94"/>
  <c r="H9" i="94" s="1"/>
  <c r="H7" i="94" s="1"/>
  <c r="G12" i="94"/>
  <c r="G9" i="94" s="1"/>
  <c r="G7" i="94" s="1"/>
  <c r="R19" i="93"/>
  <c r="R16" i="93" s="1"/>
  <c r="Q19" i="93"/>
  <c r="P19" i="93"/>
  <c r="O19" i="93"/>
  <c r="O16" i="93" s="1"/>
  <c r="N19" i="93"/>
  <c r="N16" i="93" s="1"/>
  <c r="M19" i="93"/>
  <c r="L19" i="93"/>
  <c r="K19" i="93"/>
  <c r="J19" i="93"/>
  <c r="J16" i="93" s="1"/>
  <c r="I19" i="93"/>
  <c r="I16" i="93" s="1"/>
  <c r="H19" i="93"/>
  <c r="H16" i="93" s="1"/>
  <c r="G19" i="93"/>
  <c r="Q16" i="93"/>
  <c r="P16" i="93"/>
  <c r="M16" i="93"/>
  <c r="L16" i="93"/>
  <c r="K16" i="93"/>
  <c r="K7" i="93" s="1"/>
  <c r="G16" i="93"/>
  <c r="R12" i="93"/>
  <c r="R9" i="93" s="1"/>
  <c r="R7" i="93" s="1"/>
  <c r="Q12" i="93"/>
  <c r="P12" i="93"/>
  <c r="P9" i="93" s="1"/>
  <c r="P7" i="93" s="1"/>
  <c r="O12" i="93"/>
  <c r="O9" i="93" s="1"/>
  <c r="O7" i="93" s="1"/>
  <c r="N12" i="93"/>
  <c r="N9" i="93" s="1"/>
  <c r="M12" i="93"/>
  <c r="M9" i="93" s="1"/>
  <c r="L12" i="93"/>
  <c r="L9" i="93" s="1"/>
  <c r="K12" i="93"/>
  <c r="J12" i="93"/>
  <c r="J9" i="93" s="1"/>
  <c r="I12" i="93"/>
  <c r="I9" i="93" s="1"/>
  <c r="H12" i="93"/>
  <c r="H9" i="93" s="1"/>
  <c r="H7" i="93" s="1"/>
  <c r="G12" i="93"/>
  <c r="G9" i="93" s="1"/>
  <c r="Q9" i="93"/>
  <c r="Q7" i="93" s="1"/>
  <c r="K9" i="93"/>
  <c r="R19" i="92"/>
  <c r="R16" i="92" s="1"/>
  <c r="Q19" i="92"/>
  <c r="Q16" i="92" s="1"/>
  <c r="P19" i="92"/>
  <c r="P16" i="92" s="1"/>
  <c r="O19" i="92"/>
  <c r="O16" i="92" s="1"/>
  <c r="N19" i="92"/>
  <c r="M19" i="92"/>
  <c r="L19" i="92"/>
  <c r="K19" i="92"/>
  <c r="J19" i="92"/>
  <c r="J16" i="92" s="1"/>
  <c r="I19" i="92"/>
  <c r="H19" i="92"/>
  <c r="G19" i="92"/>
  <c r="N16" i="92"/>
  <c r="M16" i="92"/>
  <c r="L16" i="92"/>
  <c r="K16" i="92"/>
  <c r="I16" i="92"/>
  <c r="H16" i="92"/>
  <c r="G16" i="92"/>
  <c r="R12" i="92"/>
  <c r="R9" i="92" s="1"/>
  <c r="R7" i="92" s="1"/>
  <c r="Q12" i="92"/>
  <c r="P12" i="92"/>
  <c r="O12" i="92"/>
  <c r="N12" i="92"/>
  <c r="N9" i="92" s="1"/>
  <c r="M12" i="92"/>
  <c r="L12" i="92"/>
  <c r="K12" i="92"/>
  <c r="J12" i="92"/>
  <c r="J9" i="92" s="1"/>
  <c r="I12" i="92"/>
  <c r="I9" i="92" s="1"/>
  <c r="H12" i="92"/>
  <c r="H9" i="92" s="1"/>
  <c r="G12" i="92"/>
  <c r="G9" i="92" s="1"/>
  <c r="Q9" i="92"/>
  <c r="P9" i="92"/>
  <c r="O9" i="92"/>
  <c r="O7" i="92" s="1"/>
  <c r="M9" i="92"/>
  <c r="L9" i="92"/>
  <c r="L7" i="92" s="1"/>
  <c r="K9" i="92"/>
  <c r="R20" i="91"/>
  <c r="R17" i="91" s="1"/>
  <c r="Q20" i="91"/>
  <c r="P20" i="91"/>
  <c r="O20" i="91"/>
  <c r="O17" i="91" s="1"/>
  <c r="N20" i="91"/>
  <c r="M20" i="91"/>
  <c r="L20" i="91"/>
  <c r="K20" i="91"/>
  <c r="J20" i="91"/>
  <c r="J17" i="91" s="1"/>
  <c r="I20" i="91"/>
  <c r="I17" i="91" s="1"/>
  <c r="H20" i="91"/>
  <c r="H17" i="91" s="1"/>
  <c r="G20" i="91"/>
  <c r="Q17" i="91"/>
  <c r="P17" i="91"/>
  <c r="N17" i="91"/>
  <c r="M17" i="91"/>
  <c r="L17" i="91"/>
  <c r="K17" i="91"/>
  <c r="K7" i="91" s="1"/>
  <c r="G17" i="91"/>
  <c r="R12" i="91"/>
  <c r="R9" i="91" s="1"/>
  <c r="R7" i="91" s="1"/>
  <c r="Q12" i="91"/>
  <c r="P12" i="91"/>
  <c r="O12" i="91"/>
  <c r="N12" i="91"/>
  <c r="N9" i="91" s="1"/>
  <c r="M12" i="91"/>
  <c r="M9" i="91" s="1"/>
  <c r="L12" i="91"/>
  <c r="L9" i="91" s="1"/>
  <c r="K12" i="91"/>
  <c r="J12" i="91"/>
  <c r="I12" i="91"/>
  <c r="H12" i="91"/>
  <c r="G12" i="91"/>
  <c r="G9" i="91" s="1"/>
  <c r="Q9" i="91"/>
  <c r="P9" i="91"/>
  <c r="P7" i="91" s="1"/>
  <c r="O9" i="91"/>
  <c r="O7" i="91" s="1"/>
  <c r="K9" i="91"/>
  <c r="J9" i="91"/>
  <c r="I9" i="91"/>
  <c r="H9" i="91"/>
  <c r="R20" i="90"/>
  <c r="R17" i="90" s="1"/>
  <c r="Q20" i="90"/>
  <c r="Q17" i="90" s="1"/>
  <c r="P20" i="90"/>
  <c r="P17" i="90" s="1"/>
  <c r="O20" i="90"/>
  <c r="O17" i="90" s="1"/>
  <c r="N20" i="90"/>
  <c r="N17" i="90" s="1"/>
  <c r="M20" i="90"/>
  <c r="M17" i="90" s="1"/>
  <c r="L20" i="90"/>
  <c r="L17" i="90" s="1"/>
  <c r="K20" i="90"/>
  <c r="K17" i="90" s="1"/>
  <c r="J20" i="90"/>
  <c r="J17" i="90" s="1"/>
  <c r="I20" i="90"/>
  <c r="I17" i="90" s="1"/>
  <c r="H20" i="90"/>
  <c r="H17" i="90" s="1"/>
  <c r="G20" i="90"/>
  <c r="G17" i="90" s="1"/>
  <c r="R12" i="90"/>
  <c r="R9" i="90" s="1"/>
  <c r="Q12" i="90"/>
  <c r="Q9" i="90" s="1"/>
  <c r="P12" i="90"/>
  <c r="P9" i="90" s="1"/>
  <c r="O12" i="90"/>
  <c r="O9" i="90" s="1"/>
  <c r="N12" i="90"/>
  <c r="N9" i="90" s="1"/>
  <c r="M12" i="90"/>
  <c r="M9" i="90" s="1"/>
  <c r="M7" i="90" s="1"/>
  <c r="L12" i="90"/>
  <c r="L9" i="90" s="1"/>
  <c r="L7" i="90" s="1"/>
  <c r="K12" i="90"/>
  <c r="K9" i="90" s="1"/>
  <c r="K7" i="90" s="1"/>
  <c r="J12" i="90"/>
  <c r="J9" i="90" s="1"/>
  <c r="I12" i="90"/>
  <c r="I9" i="90" s="1"/>
  <c r="H12" i="90"/>
  <c r="H9" i="90" s="1"/>
  <c r="G12" i="90"/>
  <c r="G9" i="90" s="1"/>
  <c r="J37" i="108" l="1"/>
  <c r="Q37" i="109"/>
  <c r="L37" i="109"/>
  <c r="N37" i="109"/>
  <c r="M37" i="109"/>
  <c r="P37" i="109"/>
  <c r="O37" i="109"/>
  <c r="K37" i="107"/>
  <c r="N7" i="100"/>
  <c r="J7" i="100"/>
  <c r="M7" i="100"/>
  <c r="O7" i="100"/>
  <c r="P7" i="100"/>
  <c r="H7" i="100"/>
  <c r="I7" i="100"/>
  <c r="L7" i="100"/>
  <c r="R7" i="100"/>
  <c r="Q7" i="99"/>
  <c r="H9" i="99"/>
  <c r="O7" i="99"/>
  <c r="Q19" i="99"/>
  <c r="Q16" i="99" s="1"/>
  <c r="G7" i="99"/>
  <c r="N7" i="99"/>
  <c r="H7" i="99"/>
  <c r="I7" i="99"/>
  <c r="J7" i="99"/>
  <c r="K7" i="99"/>
  <c r="L7" i="99"/>
  <c r="M7" i="99"/>
  <c r="R7" i="98"/>
  <c r="L7" i="98"/>
  <c r="N7" i="98"/>
  <c r="H7" i="98"/>
  <c r="I7" i="98"/>
  <c r="J7" i="98"/>
  <c r="K7" i="98"/>
  <c r="M7" i="98"/>
  <c r="R7" i="96"/>
  <c r="H7" i="96"/>
  <c r="I7" i="96"/>
  <c r="N7" i="96"/>
  <c r="R7" i="95"/>
  <c r="M7" i="95"/>
  <c r="Q7" i="95"/>
  <c r="H7" i="95"/>
  <c r="I7" i="95"/>
  <c r="K7" i="95"/>
  <c r="N7" i="95"/>
  <c r="R7" i="94"/>
  <c r="O7" i="94"/>
  <c r="P7" i="94"/>
  <c r="Q7" i="94"/>
  <c r="N7" i="94"/>
  <c r="K7" i="94"/>
  <c r="L7" i="94"/>
  <c r="M7" i="94"/>
  <c r="N7" i="93"/>
  <c r="J7" i="93"/>
  <c r="L7" i="93"/>
  <c r="G7" i="93"/>
  <c r="I7" i="93"/>
  <c r="M7" i="93"/>
  <c r="J7" i="92"/>
  <c r="M7" i="92"/>
  <c r="G7" i="92"/>
  <c r="P7" i="92"/>
  <c r="H7" i="92"/>
  <c r="N7" i="92"/>
  <c r="Q7" i="92"/>
  <c r="I7" i="92"/>
  <c r="K7" i="92"/>
  <c r="J7" i="91"/>
  <c r="Q7" i="91"/>
  <c r="G7" i="91"/>
  <c r="L7" i="91"/>
  <c r="H7" i="91"/>
  <c r="N7" i="91"/>
  <c r="I7" i="91"/>
  <c r="M7" i="91"/>
  <c r="Q7" i="90"/>
  <c r="N7" i="90"/>
  <c r="R7" i="90"/>
  <c r="O7" i="90"/>
  <c r="P7" i="90"/>
  <c r="G7" i="90"/>
  <c r="H7" i="90"/>
  <c r="I7" i="90"/>
  <c r="J7" i="90"/>
  <c r="R14" i="89" l="1"/>
  <c r="Q14" i="89"/>
  <c r="P14" i="89"/>
  <c r="O14" i="89"/>
  <c r="N14" i="89"/>
  <c r="M14" i="89"/>
  <c r="L14" i="89"/>
  <c r="K14" i="89"/>
  <c r="J14" i="89"/>
  <c r="J7" i="89" s="1"/>
  <c r="I14" i="89"/>
  <c r="I7" i="89" s="1"/>
  <c r="H14" i="89"/>
  <c r="H7" i="89" s="1"/>
  <c r="G14" i="89"/>
  <c r="G7" i="89" s="1"/>
  <c r="R9" i="89"/>
  <c r="R7" i="89" s="1"/>
  <c r="Q9" i="89"/>
  <c r="Q7" i="89" s="1"/>
  <c r="P9" i="89"/>
  <c r="P7" i="89" s="1"/>
  <c r="O9" i="89"/>
  <c r="O7" i="89" s="1"/>
  <c r="N9" i="89"/>
  <c r="N7" i="89" s="1"/>
  <c r="M9" i="89"/>
  <c r="L9" i="89"/>
  <c r="K9" i="89"/>
  <c r="K7" i="89" s="1"/>
  <c r="J9" i="89"/>
  <c r="I9" i="89"/>
  <c r="H9" i="89"/>
  <c r="G9" i="89"/>
  <c r="R14" i="88"/>
  <c r="Q14" i="88"/>
  <c r="P14" i="88"/>
  <c r="O14" i="88"/>
  <c r="N14" i="88"/>
  <c r="M14" i="88"/>
  <c r="L14" i="88"/>
  <c r="K14" i="88"/>
  <c r="J14" i="88"/>
  <c r="J7" i="88" s="1"/>
  <c r="I14" i="88"/>
  <c r="I7" i="88" s="1"/>
  <c r="H14" i="88"/>
  <c r="H7" i="88" s="1"/>
  <c r="G14" i="88"/>
  <c r="G7" i="88" s="1"/>
  <c r="R9" i="88"/>
  <c r="R7" i="88" s="1"/>
  <c r="Q9" i="88"/>
  <c r="Q7" i="88" s="1"/>
  <c r="P9" i="88"/>
  <c r="P7" i="88" s="1"/>
  <c r="O9" i="88"/>
  <c r="O7" i="88" s="1"/>
  <c r="N9" i="88"/>
  <c r="M9" i="88"/>
  <c r="M7" i="88" s="1"/>
  <c r="L9" i="88"/>
  <c r="L7" i="88" s="1"/>
  <c r="K9" i="88"/>
  <c r="K7" i="88" s="1"/>
  <c r="J9" i="88"/>
  <c r="I9" i="88"/>
  <c r="H9" i="88"/>
  <c r="G9" i="88"/>
  <c r="L7" i="89" l="1"/>
  <c r="M7" i="89"/>
  <c r="N7" i="88"/>
  <c r="W26" i="54" l="1"/>
  <c r="V26" i="54"/>
  <c r="U26" i="54"/>
  <c r="T26" i="54"/>
  <c r="S26" i="54"/>
  <c r="R26" i="54"/>
  <c r="Q26" i="54"/>
  <c r="P26" i="54"/>
  <c r="O26" i="54"/>
  <c r="O21" i="54" s="1"/>
  <c r="N26" i="54"/>
  <c r="M26" i="54"/>
  <c r="L26" i="54"/>
  <c r="L21" i="54" s="1"/>
  <c r="K26" i="54"/>
  <c r="J26" i="54"/>
  <c r="I26" i="54"/>
  <c r="H26" i="54"/>
  <c r="G26" i="54"/>
  <c r="W22" i="54"/>
  <c r="V22" i="54"/>
  <c r="U22" i="54"/>
  <c r="T2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G22" i="54"/>
  <c r="K21" i="54"/>
  <c r="J21" i="54"/>
  <c r="I21" i="54"/>
  <c r="H21" i="54"/>
  <c r="H7" i="54" s="1"/>
  <c r="G21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K11" i="54"/>
  <c r="K10" i="54" s="1"/>
  <c r="J11" i="54"/>
  <c r="J10" i="54" s="1"/>
  <c r="I11" i="54"/>
  <c r="I10" i="54" s="1"/>
  <c r="H11" i="54"/>
  <c r="H10" i="54" s="1"/>
  <c r="G11" i="54"/>
  <c r="G10" i="54" s="1"/>
  <c r="W10" i="54"/>
  <c r="V10" i="54"/>
  <c r="U10" i="54"/>
  <c r="U9" i="54" s="1"/>
  <c r="T10" i="54"/>
  <c r="S10" i="54"/>
  <c r="R10" i="54"/>
  <c r="Q10" i="54"/>
  <c r="P10" i="54"/>
  <c r="O10" i="54"/>
  <c r="N10" i="54"/>
  <c r="M10" i="54"/>
  <c r="L10" i="54"/>
  <c r="L9" i="54" s="1"/>
  <c r="K9" i="54"/>
  <c r="J9" i="54"/>
  <c r="I9" i="54"/>
  <c r="H9" i="54"/>
  <c r="G9" i="54"/>
  <c r="J7" i="54" l="1"/>
  <c r="K7" i="54"/>
  <c r="N21" i="54"/>
  <c r="R21" i="54"/>
  <c r="V9" i="54"/>
  <c r="W21" i="54"/>
  <c r="G7" i="54"/>
  <c r="V21" i="54"/>
  <c r="S21" i="54"/>
  <c r="I7" i="54"/>
  <c r="M21" i="54"/>
  <c r="R9" i="54"/>
  <c r="R7" i="54" s="1"/>
  <c r="U21" i="54"/>
  <c r="U7" i="54" s="1"/>
  <c r="M9" i="54"/>
  <c r="M7" i="54" s="1"/>
  <c r="N9" i="54"/>
  <c r="N7" i="54" s="1"/>
  <c r="Q9" i="54"/>
  <c r="T9" i="54"/>
  <c r="S9" i="54"/>
  <c r="S7" i="54" s="1"/>
  <c r="P21" i="54"/>
  <c r="Q21" i="54"/>
  <c r="Q7" i="54" s="1"/>
  <c r="O9" i="54"/>
  <c r="O7" i="54" s="1"/>
  <c r="W9" i="54"/>
  <c r="P9" i="54"/>
  <c r="L7" i="54"/>
  <c r="T21" i="54"/>
  <c r="V7" i="54" l="1"/>
  <c r="W7" i="54"/>
  <c r="T7" i="54"/>
  <c r="P7" i="54"/>
</calcChain>
</file>

<file path=xl/sharedStrings.xml><?xml version="1.0" encoding="utf-8"?>
<sst xmlns="http://schemas.openxmlformats.org/spreadsheetml/2006/main" count="3035" uniqueCount="184">
  <si>
    <t>(In Million Pesos)</t>
  </si>
  <si>
    <t>Particulars</t>
  </si>
  <si>
    <t>Agencies</t>
  </si>
  <si>
    <t>Relent</t>
  </si>
  <si>
    <t xml:space="preserve">Assumed </t>
  </si>
  <si>
    <t>Jan</t>
  </si>
  <si>
    <t>I. Domestic Debt</t>
  </si>
  <si>
    <t xml:space="preserve">        T O T A L</t>
  </si>
  <si>
    <t>Forex Rate Used</t>
  </si>
  <si>
    <t>NG Direct</t>
  </si>
  <si>
    <t>Direct</t>
  </si>
  <si>
    <t>*Breakdown of totals may not sum up due to rounding.</t>
  </si>
  <si>
    <t>PNB</t>
  </si>
  <si>
    <t>DBP</t>
  </si>
  <si>
    <t>NPC/PNPP</t>
  </si>
  <si>
    <t>NDC</t>
  </si>
  <si>
    <t>PAL</t>
  </si>
  <si>
    <t>T O T A L</t>
  </si>
  <si>
    <t>Domestic</t>
  </si>
  <si>
    <t>Assumed GFI</t>
  </si>
  <si>
    <t xml:space="preserve">DBP </t>
  </si>
  <si>
    <t>PGC</t>
  </si>
  <si>
    <t>Source: DMAD-BTr</t>
  </si>
  <si>
    <t>Feb</t>
  </si>
  <si>
    <t>Mar</t>
  </si>
  <si>
    <t>National Government Outstanding Debt</t>
  </si>
  <si>
    <t>Apr</t>
  </si>
  <si>
    <t>May</t>
  </si>
  <si>
    <t>Jul</t>
  </si>
  <si>
    <t>Aug</t>
  </si>
  <si>
    <t>Sept</t>
  </si>
  <si>
    <t>Oct</t>
  </si>
  <si>
    <t>Nov</t>
  </si>
  <si>
    <t>Dec</t>
  </si>
  <si>
    <t>June</t>
  </si>
  <si>
    <t xml:space="preserve"> </t>
  </si>
  <si>
    <t>Jun</t>
  </si>
  <si>
    <t>Loans</t>
  </si>
  <si>
    <t>Debt Securities</t>
  </si>
  <si>
    <t>Sep</t>
  </si>
  <si>
    <t>As of December 2015</t>
  </si>
  <si>
    <t>II. External Debt</t>
  </si>
  <si>
    <t>As of December 2016</t>
  </si>
  <si>
    <t xml:space="preserve">  </t>
  </si>
  <si>
    <t>As of December 2017</t>
  </si>
  <si>
    <t>As of December 2018</t>
  </si>
  <si>
    <t>As of December 2019</t>
  </si>
  <si>
    <t>As of December 2020</t>
  </si>
  <si>
    <t>NG Other Domestic</t>
  </si>
  <si>
    <t xml:space="preserve">Short-term borrowing from BSP </t>
  </si>
  <si>
    <t>As of December 2014</t>
  </si>
  <si>
    <t>As of December 2013</t>
  </si>
  <si>
    <t>National Government Contingent Debt</t>
  </si>
  <si>
    <t>As of February 2011</t>
  </si>
  <si>
    <t>Foreign</t>
  </si>
  <si>
    <t>As of December 2012</t>
  </si>
  <si>
    <t>As of December 2011</t>
  </si>
  <si>
    <t>As of December 2010</t>
  </si>
  <si>
    <t>CY 2009</t>
  </si>
  <si>
    <t>Domestic Debt</t>
  </si>
  <si>
    <t>Assumed Liabilities</t>
  </si>
  <si>
    <t xml:space="preserve">     PNB</t>
  </si>
  <si>
    <t xml:space="preserve">     DBP</t>
  </si>
  <si>
    <t xml:space="preserve">     NPC/PNPP</t>
  </si>
  <si>
    <t xml:space="preserve">     NDC</t>
  </si>
  <si>
    <t xml:space="preserve">     PAL</t>
  </si>
  <si>
    <t>Foreign Denominated Sec.</t>
  </si>
  <si>
    <t>*  Breakdown of totals may not sum up due to rounding</t>
  </si>
  <si>
    <t>Prepared by: SDAD-BTr</t>
  </si>
  <si>
    <t>CY 2008</t>
  </si>
  <si>
    <t>CY 2007</t>
  </si>
  <si>
    <t>CY 2006</t>
  </si>
  <si>
    <t>CY 2005</t>
  </si>
  <si>
    <t>h:said/pubdebt/pubdebtnet.xls(net2005)</t>
  </si>
  <si>
    <t>CY 2004</t>
  </si>
  <si>
    <t xml:space="preserve">Feb </t>
  </si>
  <si>
    <t>h:said/pubdebt/pubdebtnet.xls(net2004)</t>
  </si>
  <si>
    <t>CY 2003</t>
  </si>
  <si>
    <t>h:said/pubdebt/pubdebtnet.xls(net2003)</t>
  </si>
  <si>
    <t>CY 2002</t>
  </si>
  <si>
    <t>*Breakdown of totals may not sum up due to rounding</t>
  </si>
  <si>
    <t>Source: PDMS-BTr</t>
  </si>
  <si>
    <t>h:said/pubdebt/pubdebtnet.xls(net2002)</t>
  </si>
  <si>
    <t>CY 2001</t>
  </si>
  <si>
    <t>Foreign Denominated Securities</t>
  </si>
  <si>
    <t>h:said/pubdebt/pubdebtnet.xls(net2001)</t>
  </si>
  <si>
    <t>CY 2000</t>
  </si>
  <si>
    <t xml:space="preserve">NG Direct </t>
  </si>
  <si>
    <t>Government Securities</t>
  </si>
  <si>
    <t xml:space="preserve">Relent </t>
  </si>
  <si>
    <t>*Totals may not sum up due to rounding</t>
  </si>
  <si>
    <t>Prepared by : SDAD-RS, Btr</t>
  </si>
  <si>
    <t>h:said/pubdebt/pubdebtnet.xls(net2000)</t>
  </si>
  <si>
    <t>CY 1999</t>
  </si>
  <si>
    <t>Assumed</t>
  </si>
  <si>
    <t>h:said/pubdebt/pubdebtnet.xls(net1999)</t>
  </si>
  <si>
    <t>CY 1998</t>
  </si>
  <si>
    <t xml:space="preserve"> Mar</t>
  </si>
  <si>
    <t>h:said/pubdebt/pubdebtnet.xls(net1998)</t>
  </si>
  <si>
    <t>National Government Outstanding Public Debt</t>
  </si>
  <si>
    <t>CY 1997</t>
  </si>
  <si>
    <t>NG</t>
  </si>
  <si>
    <t>NG Securitized Loans</t>
  </si>
  <si>
    <t>Prepared by: SAID-BTr (gmc)</t>
  </si>
  <si>
    <t>h:said/pubdebt/pubdebtnet.xls(net1997)</t>
  </si>
  <si>
    <t>CY 1996</t>
  </si>
  <si>
    <t>h:said/pubdebt/pubdebtnet.xls(net1996)</t>
  </si>
  <si>
    <t>CY 1995</t>
  </si>
  <si>
    <t>h:said/pubdebt/pubdebtnet.xls(net1995)</t>
  </si>
  <si>
    <t>CY 1994</t>
  </si>
  <si>
    <t xml:space="preserve">Jan </t>
  </si>
  <si>
    <t>Availed by Agencies</t>
  </si>
  <si>
    <t>Relent to GOCC's</t>
  </si>
  <si>
    <t>NG Assumed Loans</t>
  </si>
  <si>
    <t>NG Assumed</t>
  </si>
  <si>
    <t>NG Guaranteed</t>
  </si>
  <si>
    <t>CBP</t>
  </si>
  <si>
    <t>Prepared by:SDAD-BTr</t>
  </si>
  <si>
    <t>h:said/pubdebt/pubdebtnet.xls(net1994)</t>
  </si>
  <si>
    <t>July 26, 2000</t>
  </si>
  <si>
    <t>CY 1993</t>
  </si>
  <si>
    <t>h:said/pubdebt/pubdebtnet.xls(net1993)</t>
  </si>
  <si>
    <t>As of December 2023</t>
  </si>
  <si>
    <t>As of December 2022</t>
  </si>
  <si>
    <t>As of December 2021</t>
  </si>
  <si>
    <t>External Debt</t>
  </si>
  <si>
    <r>
      <t xml:space="preserve">BSP Provisional Advances </t>
    </r>
    <r>
      <rPr>
        <vertAlign val="superscript"/>
        <sz val="11"/>
        <rFont val="Arial Narrow"/>
        <family val="2"/>
      </rPr>
      <t>1/</t>
    </r>
  </si>
  <si>
    <t>.</t>
  </si>
  <si>
    <t>March 8, 2010</t>
  </si>
  <si>
    <t xml:space="preserve"> February 27, 2009</t>
  </si>
  <si>
    <t xml:space="preserve"> March 7, 2008 </t>
  </si>
  <si>
    <t xml:space="preserve"> March 6, 2007</t>
  </si>
  <si>
    <r>
      <rPr>
        <vertAlign val="superscript"/>
        <sz val="11"/>
        <rFont val="Arial Narrow"/>
        <family val="2"/>
      </rPr>
      <t>1/</t>
    </r>
    <r>
      <rPr>
        <i/>
        <sz val="11"/>
        <rFont val="Arial Narrow"/>
        <family val="2"/>
      </rPr>
      <t xml:space="preserve">Short-term borrowings from BSP in the form Promissory note </t>
    </r>
  </si>
  <si>
    <t>National Government Outstanding Contingent Debt</t>
  </si>
  <si>
    <t>NG Direct Guarantee</t>
  </si>
  <si>
    <t>Assumed GFI Guarantee</t>
  </si>
  <si>
    <t xml:space="preserve">Foreign Debt </t>
  </si>
  <si>
    <t>h:said/pubdebt/Pubdebtcont(1993)</t>
  </si>
  <si>
    <t>National Government Guaranteed Debt</t>
  </si>
  <si>
    <t>h:said/pubdebt/Pubdebtcont(1994)</t>
  </si>
  <si>
    <t>h:said/pubdebt/Pubdebtcont(1995)</t>
  </si>
  <si>
    <t>h:said/pubdebt/Pubdebtcont(1996)</t>
  </si>
  <si>
    <t>h:said/pubdebt/Pubdebtcont(1997)</t>
  </si>
  <si>
    <t>h:said/pubdebt/Pubdebtcont(1998)</t>
  </si>
  <si>
    <t>h:said/pubdebt/Pubdebtcont(1999)</t>
  </si>
  <si>
    <t>h:said/pubdebt/Pubdebtcont(2000)</t>
  </si>
  <si>
    <t>h:said/pubdebt/Pubdebtcont(2001)</t>
  </si>
  <si>
    <t>h:said/pubdebt/Pubdebtcont(2002)</t>
  </si>
  <si>
    <t>March 18, 2003</t>
  </si>
  <si>
    <t>h:said/pubdebt/Pubdebtcont(2003)</t>
  </si>
  <si>
    <t>February 17, 2004</t>
  </si>
  <si>
    <t>PGC/TIDCORP/PHILIEXIM</t>
  </si>
  <si>
    <t>h:said/pubdebt/Pubdebtcont(2004)</t>
  </si>
  <si>
    <t xml:space="preserve">February 21, 2005 </t>
  </si>
  <si>
    <t>h:said/pubdebt/Pubdebtcont(2005)</t>
  </si>
  <si>
    <t>February 28, 2006</t>
  </si>
  <si>
    <t>PGC/TIDCORP/PHILEXIM</t>
  </si>
  <si>
    <t>h:said/pubdebt/pdebcont(2006)</t>
  </si>
  <si>
    <t>March 6, 2007</t>
  </si>
  <si>
    <t>h:said/pubdebt/pdebcont(2007)</t>
  </si>
  <si>
    <t>March 7, 2008</t>
  </si>
  <si>
    <t>Foreign Debt</t>
  </si>
  <si>
    <t>PGC/TIDCORP/PHLEXIM</t>
  </si>
  <si>
    <t>h:said/pubdebt/pdebcont(2008)</t>
  </si>
  <si>
    <t>February 27, 2009</t>
  </si>
  <si>
    <t>h:said/pubdebt/pdebcont(2009)</t>
  </si>
  <si>
    <t>March  8, 2010</t>
  </si>
  <si>
    <t>Direct Guarantee</t>
  </si>
  <si>
    <t>External</t>
  </si>
  <si>
    <t>Govt. Securities</t>
  </si>
  <si>
    <t>II. Foreign Debt</t>
  </si>
  <si>
    <t>GFI/GOCC's</t>
  </si>
  <si>
    <t>NPC Bonds (E.O. 370)</t>
  </si>
  <si>
    <t>NG Foreign Bonds</t>
  </si>
  <si>
    <t>As of January 2014</t>
  </si>
  <si>
    <t>As of  December 2014</t>
  </si>
  <si>
    <t>*</t>
  </si>
  <si>
    <t>Includes reconciled NG Guaranteed domestic borrowings from various GOCCs amounting to P127,071 million .</t>
  </si>
  <si>
    <t>Includes reconciled NG Guaranteed domestic borrowings from various GOCCs amounting to P130,083 million .</t>
  </si>
  <si>
    <t>Includes reconciled NG Guaranteed domestic borrowings from various GOCCs amounting to P124,868 million .</t>
  </si>
  <si>
    <t>Includes reconciled NG Guaranteed domestic borrowings from various GOCCs amounting to P107,204 million .</t>
  </si>
  <si>
    <t>As of December 2024</t>
  </si>
  <si>
    <r>
      <t xml:space="preserve">BSP Provisional Advances </t>
    </r>
    <r>
      <rPr>
        <vertAlign val="superscript"/>
        <sz val="11"/>
        <rFont val="Calibri"/>
        <family val="2"/>
      </rPr>
      <t>1/</t>
    </r>
  </si>
  <si>
    <t>04March2025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</si>
</sst>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#,##0;[Red]#,##0"/>
    <numFmt numFmtId="168" formatCode="[$-409]d\-mmm\-yyyy;@"/>
    <numFmt numFmtId="169" formatCode="#,##0.00;[Red]#,##0.00"/>
    <numFmt numFmtId="170" formatCode="#,##0.000;\-#,##0.000"/>
    <numFmt numFmtId="171" formatCode="#,##0_ ;[Red]\-#,##0\ "/>
    <numFmt numFmtId="172" formatCode="#,##0.00_ ;[Red]\-#,##0.00\ "/>
    <numFmt numFmtId="173" formatCode="0;[Red]0"/>
  </numFmts>
  <fonts count="48">
    <font>
      <sz val="10"/>
      <name val="Arial"/>
    </font>
    <font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name val="Arial"/>
      <family val="2"/>
    </font>
    <font>
      <b/>
      <i/>
      <sz val="11"/>
      <color theme="0"/>
      <name val="Arial Narrow"/>
      <family val="2"/>
    </font>
    <font>
      <i/>
      <sz val="11"/>
      <color theme="0"/>
      <name val="Arial Narrow"/>
      <family val="2"/>
    </font>
    <font>
      <b/>
      <u/>
      <sz val="11"/>
      <name val="Arial Narrow"/>
      <family val="2"/>
    </font>
    <font>
      <u/>
      <sz val="11"/>
      <name val="Arial Narrow"/>
      <family val="2"/>
    </font>
    <font>
      <b/>
      <u val="double"/>
      <sz val="11"/>
      <name val="Arial Narrow"/>
      <family val="2"/>
    </font>
    <font>
      <i/>
      <sz val="11"/>
      <name val="Arial Narrow"/>
      <family val="2"/>
    </font>
    <font>
      <vertAlign val="superscript"/>
      <sz val="11"/>
      <name val="Arial Narrow"/>
      <family val="2"/>
    </font>
    <font>
      <i/>
      <sz val="9"/>
      <name val="Arial Narrow"/>
      <family val="2"/>
    </font>
    <font>
      <b/>
      <sz val="11"/>
      <color theme="0"/>
      <name val="Arial Narrow"/>
      <family val="2"/>
    </font>
    <font>
      <b/>
      <sz val="10"/>
      <name val="Arial"/>
      <family val="2"/>
    </font>
    <font>
      <b/>
      <u val="double"/>
      <sz val="10"/>
      <name val="Arial"/>
      <family val="2"/>
    </font>
    <font>
      <b/>
      <u/>
      <sz val="10"/>
      <name val="Arial"/>
      <family val="2"/>
    </font>
    <font>
      <i/>
      <sz val="8"/>
      <name val="Arial"/>
      <family val="2"/>
    </font>
    <font>
      <i/>
      <sz val="8"/>
      <name val="Arial Narrow"/>
      <family val="2"/>
    </font>
    <font>
      <sz val="10"/>
      <name val="CG Omega"/>
      <family val="2"/>
    </font>
    <font>
      <i/>
      <sz val="10"/>
      <name val="Arial Narrow"/>
      <family val="2"/>
    </font>
    <font>
      <b/>
      <i/>
      <sz val="10"/>
      <color theme="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i/>
      <sz val="10"/>
      <color theme="0"/>
      <name val="Arial Narrow"/>
      <family val="2"/>
    </font>
    <font>
      <b/>
      <u val="double"/>
      <sz val="10"/>
      <name val="Arial Narrow"/>
      <family val="2"/>
    </font>
    <font>
      <b/>
      <u/>
      <sz val="10"/>
      <name val="Arial Narrow"/>
      <family val="2"/>
    </font>
    <font>
      <u/>
      <sz val="10"/>
      <name val="Arial Narrow"/>
      <family val="2"/>
    </font>
    <font>
      <b/>
      <sz val="11"/>
      <name val="Arial"/>
      <family val="2"/>
    </font>
    <font>
      <sz val="11"/>
      <color rgb="FFFF0000"/>
      <name val="Arial Narrow"/>
      <family val="2"/>
    </font>
    <font>
      <b/>
      <vertAlign val="superscript"/>
      <sz val="12"/>
      <name val="Arial Narrow"/>
      <family val="2"/>
    </font>
    <font>
      <vertAlign val="superscript"/>
      <sz val="12"/>
      <name val="Arial Narrow"/>
      <family val="2"/>
    </font>
    <font>
      <b/>
      <sz val="11"/>
      <name val="Calibri"/>
      <family val="2"/>
    </font>
    <font>
      <sz val="11"/>
      <name val="Calibri"/>
      <family val="2"/>
    </font>
    <font>
      <b/>
      <i/>
      <sz val="11"/>
      <color theme="0"/>
      <name val="Calibri"/>
      <family val="2"/>
    </font>
    <font>
      <i/>
      <sz val="11"/>
      <color theme="0"/>
      <name val="Calibri"/>
      <family val="2"/>
    </font>
    <font>
      <b/>
      <u/>
      <sz val="11"/>
      <name val="Calibri"/>
      <family val="2"/>
    </font>
    <font>
      <u/>
      <sz val="11"/>
      <name val="Calibri"/>
      <family val="2"/>
    </font>
    <font>
      <vertAlign val="superscript"/>
      <sz val="11"/>
      <name val="Calibri"/>
      <family val="2"/>
    </font>
    <font>
      <b/>
      <u val="double"/>
      <sz val="11"/>
      <name val="Calibri"/>
      <family val="2"/>
    </font>
    <font>
      <i/>
      <sz val="11"/>
      <name val="Calibri"/>
      <family val="2"/>
    </font>
    <font>
      <i/>
      <sz val="9"/>
      <name val="Calibri"/>
      <family val="2"/>
    </font>
    <font>
      <u val="double"/>
      <sz val="11"/>
      <name val="Calibri"/>
      <family val="2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rgb="FF0000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256">
    <xf numFmtId="0" fontId="0" fillId="0" borderId="0" xfId="0"/>
    <xf numFmtId="0" fontId="2" fillId="0" borderId="0" xfId="2" applyFont="1"/>
    <xf numFmtId="0" fontId="3" fillId="0" borderId="0" xfId="2" applyFont="1"/>
    <xf numFmtId="0" fontId="4" fillId="0" borderId="0" xfId="2" applyFont="1"/>
    <xf numFmtId="17" fontId="3" fillId="0" borderId="0" xfId="2" applyNumberFormat="1" applyFont="1"/>
    <xf numFmtId="0" fontId="6" fillId="0" borderId="0" xfId="2" applyFont="1" applyAlignment="1">
      <alignment horizontal="center" vertical="center"/>
    </xf>
    <xf numFmtId="0" fontId="2" fillId="0" borderId="0" xfId="2" applyFont="1" applyAlignment="1">
      <alignment vertical="center"/>
    </xf>
    <xf numFmtId="37" fontId="9" fillId="0" borderId="0" xfId="2" applyNumberFormat="1" applyFont="1" applyAlignment="1">
      <alignment vertical="center"/>
    </xf>
    <xf numFmtId="0" fontId="2" fillId="0" borderId="1" xfId="2" applyFont="1" applyBorder="1"/>
    <xf numFmtId="0" fontId="3" fillId="0" borderId="1" xfId="2" applyFont="1" applyBorder="1"/>
    <xf numFmtId="166" fontId="10" fillId="0" borderId="0" xfId="2" applyNumberFormat="1" applyFont="1"/>
    <xf numFmtId="0" fontId="10" fillId="0" borderId="0" xfId="2" applyFont="1"/>
    <xf numFmtId="0" fontId="10" fillId="0" borderId="0" xfId="2" quotePrefix="1" applyFont="1"/>
    <xf numFmtId="37" fontId="7" fillId="0" borderId="0" xfId="2" applyNumberFormat="1" applyFont="1"/>
    <xf numFmtId="37" fontId="8" fillId="0" borderId="0" xfId="2" applyNumberFormat="1" applyFont="1"/>
    <xf numFmtId="37" fontId="3" fillId="0" borderId="0" xfId="2" applyNumberFormat="1" applyFont="1"/>
    <xf numFmtId="37" fontId="2" fillId="0" borderId="0" xfId="2" applyNumberFormat="1" applyFont="1"/>
    <xf numFmtId="37" fontId="8" fillId="0" borderId="0" xfId="1" applyNumberFormat="1" applyFont="1" applyFill="1" applyAlignment="1"/>
    <xf numFmtId="0" fontId="5" fillId="2" borderId="2" xfId="2" applyFont="1" applyFill="1" applyBorder="1" applyAlignment="1">
      <alignment horizontal="center" vertical="center"/>
    </xf>
    <xf numFmtId="17" fontId="2" fillId="0" borderId="0" xfId="2" applyNumberFormat="1" applyFont="1"/>
    <xf numFmtId="167" fontId="7" fillId="0" borderId="0" xfId="2" applyNumberFormat="1" applyFont="1"/>
    <xf numFmtId="3" fontId="7" fillId="0" borderId="0" xfId="2" applyNumberFormat="1" applyFont="1"/>
    <xf numFmtId="167" fontId="8" fillId="0" borderId="0" xfId="2" applyNumberFormat="1" applyFont="1"/>
    <xf numFmtId="3" fontId="8" fillId="0" borderId="0" xfId="2" applyNumberFormat="1" applyFont="1"/>
    <xf numFmtId="167" fontId="3" fillId="0" borderId="0" xfId="2" applyNumberFormat="1" applyFont="1"/>
    <xf numFmtId="3" fontId="3" fillId="0" borderId="0" xfId="2" applyNumberFormat="1" applyFont="1"/>
    <xf numFmtId="171" fontId="2" fillId="0" borderId="0" xfId="2" applyNumberFormat="1" applyFont="1"/>
    <xf numFmtId="167" fontId="2" fillId="0" borderId="0" xfId="2" applyNumberFormat="1" applyFont="1"/>
    <xf numFmtId="3" fontId="2" fillId="0" borderId="0" xfId="2" applyNumberFormat="1" applyFont="1"/>
    <xf numFmtId="169" fontId="3" fillId="0" borderId="0" xfId="2" applyNumberFormat="1" applyFont="1"/>
    <xf numFmtId="171" fontId="7" fillId="0" borderId="0" xfId="2" applyNumberFormat="1" applyFont="1"/>
    <xf numFmtId="171" fontId="8" fillId="0" borderId="0" xfId="1" applyNumberFormat="1" applyFont="1" applyFill="1" applyAlignment="1"/>
    <xf numFmtId="167" fontId="8" fillId="0" borderId="0" xfId="1" applyNumberFormat="1" applyFont="1" applyFill="1" applyAlignment="1"/>
    <xf numFmtId="171" fontId="3" fillId="0" borderId="0" xfId="2" applyNumberFormat="1" applyFont="1"/>
    <xf numFmtId="172" fontId="3" fillId="0" borderId="0" xfId="2" applyNumberFormat="1" applyFont="1"/>
    <xf numFmtId="171" fontId="9" fillId="0" borderId="0" xfId="2" applyNumberFormat="1" applyFont="1" applyAlignment="1">
      <alignment vertical="center"/>
    </xf>
    <xf numFmtId="167" fontId="9" fillId="0" borderId="0" xfId="2" applyNumberFormat="1" applyFont="1" applyAlignment="1">
      <alignment vertical="center"/>
    </xf>
    <xf numFmtId="38" fontId="2" fillId="0" borderId="0" xfId="2" applyNumberFormat="1" applyFont="1"/>
    <xf numFmtId="167" fontId="3" fillId="0" borderId="0" xfId="1" applyNumberFormat="1" applyFont="1" applyFill="1"/>
    <xf numFmtId="0" fontId="5" fillId="2" borderId="3" xfId="2" applyFont="1" applyFill="1" applyBorder="1" applyAlignment="1">
      <alignment horizontal="center" vertical="center"/>
    </xf>
    <xf numFmtId="38" fontId="3" fillId="0" borderId="0" xfId="2" applyNumberFormat="1" applyFont="1"/>
    <xf numFmtId="37" fontId="9" fillId="0" borderId="0" xfId="2" applyNumberFormat="1" applyFont="1"/>
    <xf numFmtId="167" fontId="9" fillId="0" borderId="0" xfId="2" applyNumberFormat="1" applyFont="1"/>
    <xf numFmtId="164" fontId="3" fillId="0" borderId="0" xfId="2" applyNumberFormat="1" applyFont="1"/>
    <xf numFmtId="0" fontId="5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15" fontId="10" fillId="0" borderId="0" xfId="2" quotePrefix="1" applyNumberFormat="1" applyFont="1"/>
    <xf numFmtId="17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17" fontId="3" fillId="0" borderId="0" xfId="0" applyNumberFormat="1" applyFont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37" fontId="7" fillId="0" borderId="0" xfId="0" applyNumberFormat="1" applyFont="1"/>
    <xf numFmtId="37" fontId="8" fillId="0" borderId="0" xfId="0" applyNumberFormat="1" applyFont="1"/>
    <xf numFmtId="37" fontId="3" fillId="0" borderId="0" xfId="0" applyNumberFormat="1" applyFont="1"/>
    <xf numFmtId="37" fontId="3" fillId="0" borderId="0" xfId="1" applyNumberFormat="1" applyFont="1" applyFill="1"/>
    <xf numFmtId="37" fontId="2" fillId="0" borderId="0" xfId="0" applyNumberFormat="1" applyFont="1"/>
    <xf numFmtId="37" fontId="2" fillId="0" borderId="0" xfId="1" applyNumberFormat="1" applyFont="1" applyFill="1"/>
    <xf numFmtId="37" fontId="9" fillId="0" borderId="0" xfId="0" applyNumberFormat="1" applyFont="1"/>
    <xf numFmtId="0" fontId="2" fillId="0" borderId="1" xfId="0" applyFont="1" applyBorder="1"/>
    <xf numFmtId="0" fontId="3" fillId="0" borderId="1" xfId="0" applyFont="1" applyBorder="1"/>
    <xf numFmtId="166" fontId="10" fillId="0" borderId="0" xfId="0" applyNumberFormat="1" applyFont="1"/>
    <xf numFmtId="2" fontId="10" fillId="0" borderId="0" xfId="0" applyNumberFormat="1" applyFont="1"/>
    <xf numFmtId="0" fontId="10" fillId="0" borderId="0" xfId="0" applyFont="1"/>
    <xf numFmtId="15" fontId="10" fillId="0" borderId="0" xfId="0" quotePrefix="1" applyNumberFormat="1" applyFont="1"/>
    <xf numFmtId="0" fontId="10" fillId="0" borderId="0" xfId="0" quotePrefix="1" applyFont="1"/>
    <xf numFmtId="0" fontId="3" fillId="0" borderId="0" xfId="2" applyFont="1" applyAlignment="1">
      <alignment horizontal="left"/>
    </xf>
    <xf numFmtId="2" fontId="10" fillId="0" borderId="0" xfId="2" applyNumberFormat="1" applyFont="1"/>
    <xf numFmtId="17" fontId="2" fillId="0" borderId="0" xfId="2" applyNumberFormat="1" applyFont="1" applyAlignment="1">
      <alignment horizontal="left"/>
    </xf>
    <xf numFmtId="17" fontId="3" fillId="0" borderId="0" xfId="2" applyNumberFormat="1" applyFont="1" applyAlignment="1">
      <alignment horizontal="center"/>
    </xf>
    <xf numFmtId="0" fontId="10" fillId="0" borderId="2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37" fontId="5" fillId="2" borderId="1" xfId="2" applyNumberFormat="1" applyFont="1" applyFill="1" applyBorder="1" applyAlignment="1">
      <alignment horizontal="center" vertical="center"/>
    </xf>
    <xf numFmtId="37" fontId="5" fillId="2" borderId="2" xfId="2" applyNumberFormat="1" applyFont="1" applyFill="1" applyBorder="1" applyAlignment="1">
      <alignment horizontal="center" vertical="center"/>
    </xf>
    <xf numFmtId="37" fontId="5" fillId="2" borderId="3" xfId="2" applyNumberFormat="1" applyFont="1" applyFill="1" applyBorder="1" applyAlignment="1">
      <alignment horizontal="center" vertical="center"/>
    </xf>
    <xf numFmtId="166" fontId="3" fillId="0" borderId="0" xfId="2" applyNumberFormat="1" applyFont="1"/>
    <xf numFmtId="37" fontId="5" fillId="2" borderId="1" xfId="2" applyNumberFormat="1" applyFont="1" applyFill="1" applyBorder="1" applyAlignment="1">
      <alignment horizontal="center"/>
    </xf>
    <xf numFmtId="0" fontId="3" fillId="0" borderId="0" xfId="2" applyFont="1" applyAlignment="1">
      <alignment horizontal="right"/>
    </xf>
    <xf numFmtId="37" fontId="7" fillId="0" borderId="0" xfId="2" applyNumberFormat="1" applyFont="1" applyAlignment="1">
      <alignment horizontal="right"/>
    </xf>
    <xf numFmtId="15" fontId="10" fillId="0" borderId="0" xfId="2" applyNumberFormat="1" applyFont="1"/>
    <xf numFmtId="37" fontId="5" fillId="2" borderId="2" xfId="2" applyNumberFormat="1" applyFont="1" applyFill="1" applyBorder="1" applyAlignment="1">
      <alignment horizontal="center"/>
    </xf>
    <xf numFmtId="166" fontId="2" fillId="0" borderId="0" xfId="2" applyNumberFormat="1" applyFont="1"/>
    <xf numFmtId="37" fontId="10" fillId="0" borderId="0" xfId="2" applyNumberFormat="1" applyFont="1" applyAlignment="1">
      <alignment horizontal="center"/>
    </xf>
    <xf numFmtId="37" fontId="10" fillId="2" borderId="2" xfId="2" applyNumberFormat="1" applyFont="1" applyFill="1" applyBorder="1" applyAlignment="1">
      <alignment horizontal="center"/>
    </xf>
    <xf numFmtId="37" fontId="10" fillId="2" borderId="3" xfId="2" applyNumberFormat="1" applyFont="1" applyFill="1" applyBorder="1" applyAlignment="1">
      <alignment horizontal="center"/>
    </xf>
    <xf numFmtId="37" fontId="3" fillId="0" borderId="1" xfId="2" applyNumberFormat="1" applyFont="1" applyBorder="1"/>
    <xf numFmtId="37" fontId="5" fillId="2" borderId="10" xfId="2" applyNumberFormat="1" applyFont="1" applyFill="1" applyBorder="1" applyAlignment="1">
      <alignment horizontal="center" vertical="center"/>
    </xf>
    <xf numFmtId="0" fontId="10" fillId="0" borderId="0" xfId="2" applyFont="1" applyAlignment="1">
      <alignment horizontal="centerContinuous"/>
    </xf>
    <xf numFmtId="37" fontId="9" fillId="0" borderId="0" xfId="2" applyNumberFormat="1" applyFont="1" applyAlignment="1">
      <alignment horizontal="center"/>
    </xf>
    <xf numFmtId="37" fontId="3" fillId="0" borderId="0" xfId="2" applyNumberFormat="1" applyFont="1" applyAlignment="1">
      <alignment horizontal="right"/>
    </xf>
    <xf numFmtId="37" fontId="8" fillId="0" borderId="0" xfId="2" applyNumberFormat="1" applyFont="1" applyAlignment="1">
      <alignment horizontal="right"/>
    </xf>
    <xf numFmtId="37" fontId="10" fillId="0" borderId="0" xfId="2" applyNumberFormat="1" applyFont="1"/>
    <xf numFmtId="170" fontId="3" fillId="0" borderId="0" xfId="2" applyNumberFormat="1" applyFont="1"/>
    <xf numFmtId="0" fontId="14" fillId="0" borderId="0" xfId="2" applyFont="1"/>
    <xf numFmtId="0" fontId="1" fillId="0" borderId="0" xfId="2"/>
    <xf numFmtId="0" fontId="1" fillId="0" borderId="1" xfId="2" applyBorder="1"/>
    <xf numFmtId="0" fontId="1" fillId="0" borderId="0" xfId="2" applyAlignment="1">
      <alignment horizontal="right"/>
    </xf>
    <xf numFmtId="37" fontId="15" fillId="0" borderId="0" xfId="2" applyNumberFormat="1" applyFont="1" applyAlignment="1">
      <alignment horizontal="right"/>
    </xf>
    <xf numFmtId="0" fontId="1" fillId="0" borderId="0" xfId="2" applyAlignment="1">
      <alignment horizontal="left"/>
    </xf>
    <xf numFmtId="37" fontId="16" fillId="0" borderId="0" xfId="2" applyNumberFormat="1" applyFont="1"/>
    <xf numFmtId="37" fontId="1" fillId="0" borderId="0" xfId="2" applyNumberFormat="1"/>
    <xf numFmtId="0" fontId="17" fillId="0" borderId="0" xfId="2" applyFont="1"/>
    <xf numFmtId="0" fontId="18" fillId="0" borderId="0" xfId="2" applyFont="1"/>
    <xf numFmtId="166" fontId="19" fillId="0" borderId="0" xfId="2" applyNumberFormat="1" applyFont="1"/>
    <xf numFmtId="0" fontId="20" fillId="0" borderId="0" xfId="2" applyFont="1"/>
    <xf numFmtId="37" fontId="21" fillId="2" borderId="2" xfId="2" applyNumberFormat="1" applyFont="1" applyFill="1" applyBorder="1" applyAlignment="1">
      <alignment horizontal="center" vertical="center"/>
    </xf>
    <xf numFmtId="37" fontId="21" fillId="2" borderId="3" xfId="2" applyNumberFormat="1" applyFont="1" applyFill="1" applyBorder="1" applyAlignment="1">
      <alignment horizontal="center" vertical="center"/>
    </xf>
    <xf numFmtId="37" fontId="22" fillId="0" borderId="0" xfId="2" applyNumberFormat="1" applyFont="1"/>
    <xf numFmtId="166" fontId="23" fillId="0" borderId="0" xfId="2" applyNumberFormat="1" applyFont="1"/>
    <xf numFmtId="166" fontId="4" fillId="0" borderId="0" xfId="2" applyNumberFormat="1" applyFont="1"/>
    <xf numFmtId="15" fontId="17" fillId="0" borderId="0" xfId="2" quotePrefix="1" applyNumberFormat="1" applyFont="1"/>
    <xf numFmtId="166" fontId="1" fillId="0" borderId="0" xfId="2" applyNumberFormat="1"/>
    <xf numFmtId="3" fontId="1" fillId="0" borderId="0" xfId="2" applyNumberFormat="1"/>
    <xf numFmtId="17" fontId="1" fillId="0" borderId="0" xfId="2" applyNumberFormat="1"/>
    <xf numFmtId="0" fontId="24" fillId="0" borderId="0" xfId="2" applyFont="1"/>
    <xf numFmtId="0" fontId="25" fillId="0" borderId="0" xfId="2" applyFont="1"/>
    <xf numFmtId="0" fontId="25" fillId="0" borderId="1" xfId="2" applyFont="1" applyBorder="1"/>
    <xf numFmtId="0" fontId="25" fillId="0" borderId="0" xfId="2" applyFont="1" applyAlignment="1">
      <alignment horizontal="left"/>
    </xf>
    <xf numFmtId="37" fontId="28" fillId="0" borderId="0" xfId="2" applyNumberFormat="1" applyFont="1"/>
    <xf numFmtId="37" fontId="25" fillId="0" borderId="0" xfId="2" applyNumberFormat="1" applyFont="1"/>
    <xf numFmtId="37" fontId="29" fillId="0" borderId="0" xfId="2" applyNumberFormat="1" applyFont="1"/>
    <xf numFmtId="17" fontId="25" fillId="0" borderId="0" xfId="2" applyNumberFormat="1" applyFont="1"/>
    <xf numFmtId="37" fontId="9" fillId="0" borderId="0" xfId="2" applyNumberFormat="1" applyFont="1" applyAlignment="1">
      <alignment horizontal="right"/>
    </xf>
    <xf numFmtId="1" fontId="3" fillId="0" borderId="0" xfId="2" applyNumberFormat="1" applyFont="1"/>
    <xf numFmtId="0" fontId="3" fillId="0" borderId="0" xfId="2" applyFont="1" applyAlignment="1">
      <alignment horizontal="center" vertical="center"/>
    </xf>
    <xf numFmtId="37" fontId="6" fillId="2" borderId="2" xfId="2" applyNumberFormat="1" applyFont="1" applyFill="1" applyBorder="1" applyAlignment="1">
      <alignment horizontal="center" vertical="center"/>
    </xf>
    <xf numFmtId="37" fontId="6" fillId="2" borderId="1" xfId="2" applyNumberFormat="1" applyFont="1" applyFill="1" applyBorder="1" applyAlignment="1">
      <alignment horizontal="center" vertical="center"/>
    </xf>
    <xf numFmtId="37" fontId="6" fillId="2" borderId="3" xfId="2" applyNumberFormat="1" applyFont="1" applyFill="1" applyBorder="1" applyAlignment="1">
      <alignment horizontal="center" vertical="center"/>
    </xf>
    <xf numFmtId="0" fontId="13" fillId="0" borderId="0" xfId="2" applyFont="1"/>
    <xf numFmtId="0" fontId="30" fillId="0" borderId="0" xfId="2" applyFont="1"/>
    <xf numFmtId="17" fontId="1" fillId="0" borderId="0" xfId="2" applyNumberFormat="1" applyAlignment="1">
      <alignment horizontal="center"/>
    </xf>
    <xf numFmtId="0" fontId="24" fillId="0" borderId="1" xfId="2" applyFont="1" applyBorder="1"/>
    <xf numFmtId="17" fontId="30" fillId="0" borderId="0" xfId="2" applyNumberFormat="1" applyFont="1"/>
    <xf numFmtId="17" fontId="4" fillId="0" borderId="0" xfId="2" applyNumberFormat="1" applyFont="1"/>
    <xf numFmtId="17" fontId="4" fillId="0" borderId="0" xfId="2" applyNumberFormat="1" applyFont="1" applyAlignment="1">
      <alignment horizontal="center"/>
    </xf>
    <xf numFmtId="0" fontId="20" fillId="0" borderId="2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37" fontId="27" fillId="0" borderId="0" xfId="2" applyNumberFormat="1" applyFont="1"/>
    <xf numFmtId="166" fontId="20" fillId="0" borderId="0" xfId="2" applyNumberFormat="1" applyFont="1"/>
    <xf numFmtId="2" fontId="20" fillId="0" borderId="0" xfId="2" applyNumberFormat="1" applyFont="1"/>
    <xf numFmtId="15" fontId="20" fillId="0" borderId="0" xfId="2" quotePrefix="1" applyNumberFormat="1" applyFont="1"/>
    <xf numFmtId="0" fontId="20" fillId="0" borderId="0" xfId="2" quotePrefix="1" applyFont="1"/>
    <xf numFmtId="0" fontId="3" fillId="0" borderId="3" xfId="2" applyFont="1" applyBorder="1"/>
    <xf numFmtId="0" fontId="13" fillId="2" borderId="3" xfId="2" applyFont="1" applyFill="1" applyBorder="1" applyAlignment="1">
      <alignment vertical="center"/>
    </xf>
    <xf numFmtId="17" fontId="3" fillId="0" borderId="0" xfId="2" applyNumberFormat="1" applyFont="1" applyAlignment="1">
      <alignment horizontal="left"/>
    </xf>
    <xf numFmtId="17" fontId="14" fillId="0" borderId="0" xfId="2" applyNumberFormat="1" applyFont="1"/>
    <xf numFmtId="167" fontId="1" fillId="0" borderId="0" xfId="2" applyNumberFormat="1"/>
    <xf numFmtId="37" fontId="24" fillId="0" borderId="0" xfId="2" applyNumberFormat="1" applyFont="1"/>
    <xf numFmtId="167" fontId="10" fillId="0" borderId="0" xfId="2" applyNumberFormat="1" applyFont="1"/>
    <xf numFmtId="0" fontId="31" fillId="0" borderId="0" xfId="2" applyFont="1"/>
    <xf numFmtId="167" fontId="7" fillId="0" borderId="0" xfId="2" applyNumberFormat="1" applyFont="1" applyAlignment="1">
      <alignment vertical="center"/>
    </xf>
    <xf numFmtId="173" fontId="3" fillId="0" borderId="0" xfId="2" applyNumberFormat="1" applyFont="1"/>
    <xf numFmtId="3" fontId="7" fillId="0" borderId="0" xfId="2" applyNumberFormat="1" applyFont="1" applyAlignment="1">
      <alignment vertical="center"/>
    </xf>
    <xf numFmtId="37" fontId="7" fillId="0" borderId="0" xfId="2" applyNumberFormat="1" applyFont="1" applyAlignment="1">
      <alignment vertical="center"/>
    </xf>
    <xf numFmtId="0" fontId="32" fillId="0" borderId="0" xfId="2" applyFont="1"/>
    <xf numFmtId="0" fontId="33" fillId="0" borderId="0" xfId="2" applyFont="1" applyAlignment="1">
      <alignment horizontal="left" vertical="center" wrapText="1"/>
    </xf>
    <xf numFmtId="0" fontId="5" fillId="3" borderId="11" xfId="2" applyFont="1" applyFill="1" applyBorder="1" applyAlignment="1">
      <alignment horizontal="center" vertical="center"/>
    </xf>
    <xf numFmtId="167" fontId="5" fillId="3" borderId="11" xfId="2" applyNumberFormat="1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5" fillId="3" borderId="8" xfId="2" applyFont="1" applyFill="1" applyBorder="1" applyAlignment="1">
      <alignment horizontal="center" vertical="center"/>
    </xf>
    <xf numFmtId="0" fontId="13" fillId="3" borderId="8" xfId="2" applyFont="1" applyFill="1" applyBorder="1" applyAlignment="1">
      <alignment horizontal="center" vertical="center"/>
    </xf>
    <xf numFmtId="0" fontId="13" fillId="3" borderId="9" xfId="2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167" fontId="5" fillId="3" borderId="2" xfId="2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6" fillId="3" borderId="2" xfId="2" applyFont="1" applyFill="1" applyBorder="1" applyAlignment="1">
      <alignment horizontal="center" vertical="center"/>
    </xf>
    <xf numFmtId="0" fontId="13" fillId="3" borderId="3" xfId="2" applyFont="1" applyFill="1" applyBorder="1" applyAlignment="1">
      <alignment vertical="center"/>
    </xf>
    <xf numFmtId="0" fontId="3" fillId="3" borderId="0" xfId="2" applyFont="1" applyFill="1"/>
    <xf numFmtId="0" fontId="5" fillId="2" borderId="4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168" fontId="12" fillId="0" borderId="0" xfId="2" quotePrefix="1" applyNumberFormat="1" applyFont="1" applyAlignment="1">
      <alignment horizontal="left"/>
    </xf>
    <xf numFmtId="17" fontId="2" fillId="0" borderId="0" xfId="2" applyNumberFormat="1" applyFont="1" applyAlignment="1">
      <alignment horizontal="left"/>
    </xf>
    <xf numFmtId="17" fontId="3" fillId="0" borderId="0" xfId="2" applyNumberFormat="1" applyFont="1" applyAlignment="1">
      <alignment horizontal="left"/>
    </xf>
    <xf numFmtId="0" fontId="10" fillId="0" borderId="4" xfId="2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0" fontId="5" fillId="3" borderId="11" xfId="2" applyFont="1" applyFill="1" applyBorder="1" applyAlignment="1">
      <alignment horizontal="center" vertical="center"/>
    </xf>
    <xf numFmtId="168" fontId="10" fillId="0" borderId="0" xfId="2" quotePrefix="1" applyNumberFormat="1" applyFont="1" applyAlignment="1">
      <alignment horizontal="left"/>
    </xf>
    <xf numFmtId="0" fontId="5" fillId="3" borderId="4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15" fontId="10" fillId="0" borderId="0" xfId="2" quotePrefix="1" applyNumberFormat="1" applyFont="1" applyAlignment="1">
      <alignment horizontal="left"/>
    </xf>
    <xf numFmtId="0" fontId="5" fillId="3" borderId="5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7" fontId="14" fillId="0" borderId="0" xfId="2" applyNumberFormat="1" applyFont="1" applyAlignment="1">
      <alignment horizontal="left"/>
    </xf>
    <xf numFmtId="17" fontId="1" fillId="0" borderId="0" xfId="2" applyNumberFormat="1" applyAlignment="1">
      <alignment horizontal="left"/>
    </xf>
    <xf numFmtId="0" fontId="20" fillId="0" borderId="4" xfId="2" applyFont="1" applyBorder="1" applyAlignment="1">
      <alignment horizontal="center"/>
    </xf>
    <xf numFmtId="0" fontId="20" fillId="0" borderId="2" xfId="2" applyFont="1" applyBorder="1" applyAlignment="1">
      <alignment horizontal="center"/>
    </xf>
    <xf numFmtId="0" fontId="26" fillId="3" borderId="2" xfId="2" applyFont="1" applyFill="1" applyBorder="1" applyAlignment="1">
      <alignment horizontal="center" vertical="center"/>
    </xf>
    <xf numFmtId="17" fontId="30" fillId="0" borderId="0" xfId="2" applyNumberFormat="1" applyFont="1" applyAlignment="1">
      <alignment horizontal="left"/>
    </xf>
    <xf numFmtId="17" fontId="4" fillId="0" borderId="0" xfId="2" applyNumberFormat="1" applyFont="1" applyAlignment="1">
      <alignment horizontal="left"/>
    </xf>
    <xf numFmtId="0" fontId="21" fillId="2" borderId="4" xfId="2" applyFont="1" applyFill="1" applyBorder="1" applyAlignment="1">
      <alignment horizontal="center" vertical="center"/>
    </xf>
    <xf numFmtId="0" fontId="21" fillId="2" borderId="2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6" fillId="2" borderId="4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17" fontId="34" fillId="0" borderId="0" xfId="2" applyNumberFormat="1" applyFont="1"/>
    <xf numFmtId="0" fontId="35" fillId="0" borderId="0" xfId="2" applyFont="1"/>
    <xf numFmtId="17" fontId="35" fillId="0" borderId="0" xfId="2" applyNumberFormat="1" applyFont="1"/>
    <xf numFmtId="0" fontId="37" fillId="0" borderId="0" xfId="2" applyFont="1" applyAlignment="1">
      <alignment horizontal="center" vertical="center"/>
    </xf>
    <xf numFmtId="0" fontId="34" fillId="0" borderId="0" xfId="2" applyFont="1"/>
    <xf numFmtId="167" fontId="38" fillId="0" borderId="0" xfId="2" applyNumberFormat="1" applyFont="1"/>
    <xf numFmtId="3" fontId="38" fillId="0" borderId="0" xfId="2" applyNumberFormat="1" applyFont="1"/>
    <xf numFmtId="167" fontId="39" fillId="0" borderId="0" xfId="2" applyNumberFormat="1" applyFont="1"/>
    <xf numFmtId="3" fontId="39" fillId="0" borderId="0" xfId="2" applyNumberFormat="1" applyFont="1"/>
    <xf numFmtId="3" fontId="35" fillId="0" borderId="0" xfId="2" applyNumberFormat="1" applyFont="1"/>
    <xf numFmtId="167" fontId="35" fillId="0" borderId="0" xfId="2" applyNumberFormat="1" applyFont="1"/>
    <xf numFmtId="3" fontId="34" fillId="0" borderId="0" xfId="2" applyNumberFormat="1" applyFont="1"/>
    <xf numFmtId="167" fontId="34" fillId="0" borderId="0" xfId="2" applyNumberFormat="1" applyFont="1"/>
    <xf numFmtId="0" fontId="34" fillId="0" borderId="0" xfId="2" applyFont="1" applyAlignment="1">
      <alignment vertical="center"/>
    </xf>
    <xf numFmtId="3" fontId="41" fillId="0" borderId="0" xfId="2" applyNumberFormat="1" applyFont="1" applyAlignment="1">
      <alignment vertical="center"/>
    </xf>
    <xf numFmtId="0" fontId="34" fillId="0" borderId="1" xfId="2" applyFont="1" applyBorder="1"/>
    <xf numFmtId="0" fontId="35" fillId="0" borderId="1" xfId="2" applyFont="1" applyBorder="1"/>
    <xf numFmtId="166" fontId="42" fillId="0" borderId="0" xfId="2" applyNumberFormat="1" applyFont="1"/>
    <xf numFmtId="0" fontId="42" fillId="0" borderId="0" xfId="2" applyFont="1"/>
    <xf numFmtId="166" fontId="35" fillId="0" borderId="0" xfId="2" applyNumberFormat="1" applyFont="1"/>
    <xf numFmtId="0" fontId="43" fillId="0" borderId="0" xfId="2" applyFont="1"/>
    <xf numFmtId="166" fontId="43" fillId="0" borderId="0" xfId="2" applyNumberFormat="1" applyFont="1"/>
    <xf numFmtId="0" fontId="42" fillId="0" borderId="0" xfId="2" quotePrefix="1" applyFont="1"/>
    <xf numFmtId="0" fontId="36" fillId="2" borderId="4" xfId="2" applyFont="1" applyFill="1" applyBorder="1" applyAlignment="1">
      <alignment horizontal="center" vertical="center"/>
    </xf>
    <xf numFmtId="0" fontId="36" fillId="2" borderId="2" xfId="2" applyFont="1" applyFill="1" applyBorder="1" applyAlignment="1">
      <alignment horizontal="center" vertical="center"/>
    </xf>
    <xf numFmtId="0" fontId="36" fillId="2" borderId="2" xfId="2" applyFont="1" applyFill="1" applyBorder="1" applyAlignment="1">
      <alignment horizontal="center" vertical="center"/>
    </xf>
    <xf numFmtId="17" fontId="34" fillId="0" borderId="0" xfId="2" applyNumberFormat="1" applyFont="1" applyAlignment="1">
      <alignment horizontal="left"/>
    </xf>
    <xf numFmtId="17" fontId="35" fillId="0" borderId="0" xfId="2" applyNumberFormat="1" applyFont="1" applyAlignment="1">
      <alignment horizontal="left"/>
    </xf>
    <xf numFmtId="0" fontId="42" fillId="0" borderId="4" xfId="2" applyFont="1" applyBorder="1" applyAlignment="1">
      <alignment horizontal="center"/>
    </xf>
    <xf numFmtId="0" fontId="42" fillId="0" borderId="2" xfId="2" applyFont="1" applyBorder="1" applyAlignment="1">
      <alignment horizontal="center"/>
    </xf>
    <xf numFmtId="0" fontId="42" fillId="0" borderId="2" xfId="2" applyFont="1" applyBorder="1" applyAlignment="1">
      <alignment horizontal="center"/>
    </xf>
    <xf numFmtId="0" fontId="42" fillId="0" borderId="0" xfId="2" applyFont="1" applyAlignment="1">
      <alignment horizontal="center"/>
    </xf>
    <xf numFmtId="0" fontId="35" fillId="0" borderId="0" xfId="2" applyFont="1" applyAlignment="1">
      <alignment horizontal="center"/>
    </xf>
    <xf numFmtId="37" fontId="38" fillId="0" borderId="0" xfId="2" applyNumberFormat="1" applyFont="1"/>
    <xf numFmtId="37" fontId="39" fillId="0" borderId="0" xfId="2" applyNumberFormat="1" applyFont="1"/>
    <xf numFmtId="37" fontId="35" fillId="0" borderId="0" xfId="2" applyNumberFormat="1" applyFont="1"/>
    <xf numFmtId="37" fontId="41" fillId="0" borderId="0" xfId="2" applyNumberFormat="1" applyFont="1"/>
    <xf numFmtId="2" fontId="42" fillId="0" borderId="0" xfId="2" applyNumberFormat="1" applyFont="1"/>
    <xf numFmtId="15" fontId="42" fillId="0" borderId="0" xfId="2" quotePrefix="1" applyNumberFormat="1" applyFont="1"/>
    <xf numFmtId="17" fontId="35" fillId="0" borderId="0" xfId="2" applyNumberFormat="1" applyFont="1" applyAlignment="1">
      <alignment horizontal="center"/>
    </xf>
    <xf numFmtId="0" fontId="44" fillId="0" borderId="0" xfId="2" applyFont="1"/>
    <xf numFmtId="37" fontId="41" fillId="0" borderId="0" xfId="2" applyNumberFormat="1" applyFont="1" applyAlignment="1">
      <alignment vertical="center"/>
    </xf>
    <xf numFmtId="3" fontId="41" fillId="0" borderId="0" xfId="2" applyNumberFormat="1" applyFont="1"/>
    <xf numFmtId="37" fontId="45" fillId="0" borderId="0" xfId="2" applyNumberFormat="1" applyFont="1"/>
    <xf numFmtId="37" fontId="46" fillId="0" borderId="0" xfId="2" applyNumberFormat="1" applyFont="1"/>
    <xf numFmtId="0" fontId="36" fillId="2" borderId="11" xfId="2" applyFont="1" applyFill="1" applyBorder="1" applyAlignment="1">
      <alignment horizontal="center" vertical="center"/>
    </xf>
    <xf numFmtId="0" fontId="36" fillId="2" borderId="11" xfId="2" applyFont="1" applyFill="1" applyBorder="1" applyAlignment="1">
      <alignment horizontal="center" vertical="center"/>
    </xf>
    <xf numFmtId="15" fontId="47" fillId="0" borderId="0" xfId="2" quotePrefix="1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6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SB\SDAD\NG%20DEBT%20SERIES\NG%20DEBT%20LATEST\NG%20OS%20DEBT\NG%20DEBT%20STOCK\Monthly\2023\NG%20Debt_Dec_23_web.xlsx" TargetMode="External"/><Relationship Id="rId1" Type="http://schemas.openxmlformats.org/officeDocument/2006/relationships/externalLinkPath" Target="/USB/SDAD/NG%20DEBT%20SERIES/NG%20DEBT%20LATEST/NG%20OS%20DEBT/NG%20DEBT%20STOCK/Monthly/2023/NG%20Debt_Dec_23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Joann\DEBT%202008-2024\DEBT%202022\debtdec2022\NG%20Debt_Dec22_web.xlsx" TargetMode="External"/><Relationship Id="rId1" Type="http://schemas.openxmlformats.org/officeDocument/2006/relationships/externalLinkPath" Target="/Joann/DEBT%202008-2024/DEBT%202022/debtdec2022/NG%20Debt_Dec22_web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Joann\DEBT%202008-2024\DEBT%202021\debtdec2021\NG%20Debt_Dec2021_web.xlsx" TargetMode="External"/><Relationship Id="rId1" Type="http://schemas.openxmlformats.org/officeDocument/2006/relationships/externalLinkPath" Target="/Joann/DEBT%202008-2024/DEBT%202021/debtdec2021/NG%20Debt_Dec2021_we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B/SDAD/NG%20DEBT%20SERIES/NG%20DEBT%20LATEST/NG%20Debt_Dec2020_we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B/SDAD/NG%20DEBT%20SERIES/NG%20DEBT%20LATEST/NG%20OS%20DEBT/NG%20DEBT%20STOCK/Monthly/OS-NG_DEBT-2010-2019.re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B/SDAD/NG%20DEBT%20SERIES/NG%20DEBT%202016/NG%20OS%20DEBT/NG%20DEBT%20STOCK/Monthly/NG-DEBT_201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SB\SDAD\NG%20DEBT%20SERIES\NG%20DEBT%20LATEST\NG%20OS%20DEBT\NG%20DEBT%20STOCK\Monthly\REV-GUA_2014-2016\OSDEBT_1993-2023.xlsx" TargetMode="External"/><Relationship Id="rId1" Type="http://schemas.openxmlformats.org/officeDocument/2006/relationships/externalLinkPath" Target="/USB/SDAD/NG%20DEBT%20SERIES/NG%20DEBT%20LATEST/NG%20OS%20DEBT/NG%20DEBT%20STOCK/Monthly/REV-GUA_2014-2016/OSDEBT_1993-202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yoda001\SDAD\Joann\DEBT%202008-2025\DEBT%202024\Dec_2024\NG%20Debt%20web_Dec2024.xlsx" TargetMode="External"/><Relationship Id="rId1" Type="http://schemas.openxmlformats.org/officeDocument/2006/relationships/externalLinkPath" Target="/Joann/DEBT%202008-2025/DEBT%202024/Dec_2024/NG%20Debt%20web_Dec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3 (2)"/>
    </sheetNames>
    <sheetDataSet>
      <sheetData sheetId="0">
        <row r="2">
          <cell r="A2" t="str">
            <v>As of December 2023</v>
          </cell>
        </row>
        <row r="46">
          <cell r="A46">
            <v>45320</v>
          </cell>
          <cell r="B46"/>
          <cell r="C46"/>
          <cell r="D46"/>
          <cell r="E46"/>
          <cell r="F46"/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2(2)"/>
    </sheetNames>
    <sheetDataSet>
      <sheetData sheetId="0">
        <row r="2">
          <cell r="A2" t="str">
            <v>As of December 2022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"/>
      <sheetName val="2021 (2)"/>
    </sheetNames>
    <sheetDataSet>
      <sheetData sheetId="0">
        <row r="2">
          <cell r="A2" t="str">
            <v>As of December 2021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"/>
      <sheetName val="2020 (2)"/>
    </sheetNames>
    <sheetDataSet>
      <sheetData sheetId="0">
        <row r="2">
          <cell r="A2" t="str">
            <v>As of December 2020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"/>
      <sheetName val="2020 (2)"/>
      <sheetName val="2019"/>
      <sheetName val="2019 (2)"/>
      <sheetName val="2018"/>
      <sheetName val="2018 (2)"/>
      <sheetName val="2017"/>
      <sheetName val="2017 (2)"/>
      <sheetName val="2016 "/>
      <sheetName val="2016 (2)"/>
      <sheetName val="2015"/>
      <sheetName val="2015 (2)"/>
      <sheetName val="2014"/>
      <sheetName val="2014 (2)"/>
      <sheetName val="2013 "/>
      <sheetName val="2013(2)"/>
      <sheetName val="2012"/>
      <sheetName val="2012(2)"/>
      <sheetName val="2011"/>
      <sheetName val="2011  (2)"/>
      <sheetName val="2010"/>
      <sheetName val="2010 (2)"/>
    </sheetNames>
    <sheetDataSet>
      <sheetData sheetId="0"/>
      <sheetData sheetId="1"/>
      <sheetData sheetId="2">
        <row r="2">
          <cell r="A2" t="str">
            <v>As of December 2019</v>
          </cell>
        </row>
      </sheetData>
      <sheetData sheetId="3"/>
      <sheetData sheetId="4">
        <row r="2">
          <cell r="A2" t="str">
            <v>As of December 2018</v>
          </cell>
        </row>
      </sheetData>
      <sheetData sheetId="5"/>
      <sheetData sheetId="6">
        <row r="2">
          <cell r="A2" t="str">
            <v>As of December 2017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6"/>
      <sheetName val="2016 (2)"/>
    </sheetNames>
    <sheetDataSet>
      <sheetData sheetId="0">
        <row r="2">
          <cell r="A2" t="str">
            <v>As of December 2016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3 (2)"/>
      <sheetName val="2022"/>
      <sheetName val="2022(2)"/>
      <sheetName val="2021"/>
      <sheetName val="2021 (2)"/>
      <sheetName val="2020"/>
      <sheetName val="2020 (2)"/>
      <sheetName val="2019"/>
      <sheetName val="2019 (2)"/>
      <sheetName val="2018"/>
      <sheetName val="2018 (2)"/>
      <sheetName val="2017"/>
      <sheetName val="2017 (2)"/>
      <sheetName val="2016"/>
      <sheetName val="2016 (2)"/>
      <sheetName val="2015"/>
      <sheetName val="2015 (2)"/>
      <sheetName val="2014"/>
      <sheetName val="2014 (2)"/>
      <sheetName val="2013 "/>
      <sheetName val="2013(2)"/>
      <sheetName val="2012"/>
      <sheetName val="2012(2)"/>
      <sheetName val="2011"/>
      <sheetName val="2011  (2)"/>
      <sheetName val="2010"/>
      <sheetName val="2010 (2)"/>
      <sheetName val="2009"/>
      <sheetName val="2009 (2)"/>
      <sheetName val="2008"/>
      <sheetName val="2008 (2)"/>
      <sheetName val="2007"/>
      <sheetName val=" 2007 (2)"/>
      <sheetName val="2006"/>
      <sheetName val="2006 (2)"/>
      <sheetName val="2005"/>
      <sheetName val="2005 (2)"/>
      <sheetName val="2004"/>
      <sheetName val="2004 (2)"/>
      <sheetName val="2003"/>
      <sheetName val=" 2003 (2)"/>
      <sheetName val="2002"/>
      <sheetName val=" 2002 (2)"/>
      <sheetName val="2001"/>
      <sheetName val="2001 (2)"/>
      <sheetName val="2000"/>
      <sheetName val=" 2000 (2)"/>
      <sheetName val="1999"/>
      <sheetName val="1999 (2)"/>
      <sheetName val="1998"/>
      <sheetName val=" 1998 (2)"/>
      <sheetName val="1997"/>
      <sheetName val=" 1997 (2)"/>
      <sheetName val="1996"/>
      <sheetName val=" 1996 (2)"/>
      <sheetName val="1995"/>
      <sheetName val="1995 (2)"/>
      <sheetName val="1994"/>
      <sheetName val="1994(2)"/>
      <sheetName val="1993"/>
      <sheetName val="1993 (2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>
        <row r="2">
          <cell r="A2" t="str">
            <v>As of December 2015</v>
          </cell>
        </row>
      </sheetData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4 (2)"/>
    </sheetNames>
    <sheetDataSet>
      <sheetData sheetId="0">
        <row r="2">
          <cell r="A2" t="str">
            <v>As of December 2024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AE72-FA7A-4F1E-A2C9-9DB91DB187EF}">
  <dimension ref="A1:ER51"/>
  <sheetViews>
    <sheetView zoomScaleNormal="100" zoomScaleSheetLayoutView="100" workbookViewId="0">
      <selection activeCell="O33" sqref="O33"/>
    </sheetView>
  </sheetViews>
  <sheetFormatPr defaultRowHeight="15"/>
  <cols>
    <col min="1" max="2" width="1.85546875" style="209" customWidth="1"/>
    <col min="3" max="3" width="2.28515625" style="209" customWidth="1"/>
    <col min="4" max="4" width="1.7109375" style="209" customWidth="1"/>
    <col min="5" max="5" width="20.7109375" style="209" customWidth="1"/>
    <col min="6" max="6" width="10.5703125" style="209" customWidth="1"/>
    <col min="7" max="7" width="11.7109375" style="209" customWidth="1"/>
    <col min="8" max="8" width="11" style="209" customWidth="1"/>
    <col min="9" max="10" width="11.140625" style="209" customWidth="1"/>
    <col min="11" max="11" width="11.28515625" style="209" customWidth="1"/>
    <col min="12" max="12" width="10.140625" style="209" bestFit="1" customWidth="1"/>
    <col min="13" max="13" width="10.5703125" style="209" customWidth="1"/>
    <col min="14" max="14" width="11.28515625" style="209" customWidth="1"/>
    <col min="15" max="15" width="10.85546875" style="209" customWidth="1"/>
    <col min="16" max="16" width="11.28515625" style="209" customWidth="1"/>
    <col min="17" max="17" width="10.7109375" style="209" customWidth="1"/>
    <col min="18" max="16384" width="9.140625" style="209"/>
  </cols>
  <sheetData>
    <row r="1" spans="1:17">
      <c r="A1" s="208" t="s">
        <v>25</v>
      </c>
      <c r="B1" s="208"/>
      <c r="C1" s="208"/>
      <c r="D1" s="208"/>
      <c r="E1" s="208"/>
      <c r="F1" s="208"/>
    </row>
    <row r="2" spans="1:17">
      <c r="A2" s="208" t="s">
        <v>181</v>
      </c>
      <c r="B2" s="208"/>
      <c r="C2" s="208"/>
      <c r="D2" s="208"/>
      <c r="E2" s="208"/>
      <c r="F2" s="208"/>
    </row>
    <row r="3" spans="1:17">
      <c r="A3" s="210" t="s">
        <v>0</v>
      </c>
      <c r="B3" s="210"/>
      <c r="C3" s="210"/>
      <c r="D3" s="210"/>
      <c r="E3" s="210"/>
      <c r="F3" s="210"/>
    </row>
    <row r="4" spans="1:17" ht="8.25" customHeight="1">
      <c r="A4" s="210"/>
    </row>
    <row r="5" spans="1:17" ht="17.25" customHeight="1">
      <c r="A5" s="231" t="s">
        <v>1</v>
      </c>
      <c r="B5" s="232"/>
      <c r="C5" s="232"/>
      <c r="D5" s="232"/>
      <c r="E5" s="232"/>
      <c r="F5" s="233" t="s">
        <v>5</v>
      </c>
      <c r="G5" s="233" t="s">
        <v>23</v>
      </c>
      <c r="H5" s="233" t="s">
        <v>24</v>
      </c>
      <c r="I5" s="233" t="s">
        <v>26</v>
      </c>
      <c r="J5" s="233" t="s">
        <v>27</v>
      </c>
      <c r="K5" s="233" t="s">
        <v>36</v>
      </c>
      <c r="L5" s="233" t="s">
        <v>28</v>
      </c>
      <c r="M5" s="233" t="s">
        <v>29</v>
      </c>
      <c r="N5" s="233" t="s">
        <v>39</v>
      </c>
      <c r="O5" s="233" t="s">
        <v>31</v>
      </c>
      <c r="P5" s="233" t="s">
        <v>32</v>
      </c>
      <c r="Q5" s="233" t="s">
        <v>33</v>
      </c>
    </row>
    <row r="6" spans="1:17" ht="9" customHeight="1">
      <c r="A6" s="211"/>
      <c r="B6" s="211"/>
      <c r="C6" s="211"/>
      <c r="D6" s="211"/>
      <c r="E6" s="211"/>
      <c r="F6" s="211"/>
    </row>
    <row r="7" spans="1:17" ht="14.25" customHeight="1">
      <c r="A7" s="212" t="s">
        <v>6</v>
      </c>
      <c r="B7" s="212"/>
      <c r="C7" s="212"/>
      <c r="D7" s="212"/>
      <c r="E7" s="212"/>
      <c r="F7" s="213">
        <v>10162182</v>
      </c>
      <c r="G7" s="213">
        <v>10576696</v>
      </c>
      <c r="H7" s="213">
        <v>10277489</v>
      </c>
      <c r="I7" s="213">
        <v>10308495</v>
      </c>
      <c r="J7" s="213">
        <v>10442843</v>
      </c>
      <c r="K7" s="213">
        <v>10573116</v>
      </c>
      <c r="L7" s="213">
        <v>10753150</v>
      </c>
      <c r="M7" s="213">
        <v>10791608</v>
      </c>
      <c r="N7" s="214">
        <v>10936258.5</v>
      </c>
      <c r="O7" s="214">
        <v>10889837.199999999</v>
      </c>
      <c r="P7" s="214">
        <v>10921662.5</v>
      </c>
      <c r="Q7" s="214">
        <v>10930414.800000001</v>
      </c>
    </row>
    <row r="8" spans="1:17">
      <c r="A8" s="212"/>
      <c r="B8" s="212" t="s">
        <v>37</v>
      </c>
      <c r="C8" s="212"/>
      <c r="D8" s="212"/>
      <c r="E8" s="212"/>
      <c r="F8" s="213">
        <v>156</v>
      </c>
      <c r="G8" s="213">
        <v>156</v>
      </c>
      <c r="H8" s="213">
        <v>156</v>
      </c>
      <c r="I8" s="213">
        <v>156</v>
      </c>
      <c r="J8" s="213">
        <v>156</v>
      </c>
      <c r="K8" s="213">
        <v>156</v>
      </c>
      <c r="L8" s="213">
        <v>156</v>
      </c>
      <c r="M8" s="213">
        <v>156</v>
      </c>
      <c r="N8" s="214">
        <v>156.19999999999999</v>
      </c>
      <c r="O8" s="214">
        <v>156.19999999999999</v>
      </c>
      <c r="P8" s="214">
        <v>156.19999999999999</v>
      </c>
      <c r="Q8" s="214">
        <v>156.19999999999999</v>
      </c>
    </row>
    <row r="9" spans="1:17">
      <c r="C9" s="209" t="s">
        <v>10</v>
      </c>
      <c r="F9" s="215">
        <v>156</v>
      </c>
      <c r="G9" s="215">
        <v>156</v>
      </c>
      <c r="H9" s="215">
        <v>156</v>
      </c>
      <c r="I9" s="215">
        <v>156</v>
      </c>
      <c r="J9" s="215">
        <v>156</v>
      </c>
      <c r="K9" s="215">
        <v>156</v>
      </c>
      <c r="L9" s="215">
        <v>156</v>
      </c>
      <c r="M9" s="215">
        <v>156</v>
      </c>
      <c r="N9" s="216">
        <v>156.19999999999999</v>
      </c>
      <c r="O9" s="216">
        <v>156.19999999999999</v>
      </c>
      <c r="P9" s="216">
        <v>156.19999999999999</v>
      </c>
      <c r="Q9" s="216">
        <v>156.19999999999999</v>
      </c>
    </row>
    <row r="10" spans="1:17">
      <c r="D10" s="209" t="s">
        <v>2</v>
      </c>
      <c r="F10" s="217">
        <v>156</v>
      </c>
      <c r="G10" s="217">
        <v>156</v>
      </c>
      <c r="H10" s="217">
        <v>156</v>
      </c>
      <c r="I10" s="217">
        <v>156</v>
      </c>
      <c r="J10" s="218">
        <v>156</v>
      </c>
      <c r="K10" s="218">
        <v>156</v>
      </c>
      <c r="L10" s="218">
        <v>156</v>
      </c>
      <c r="M10" s="218">
        <v>156</v>
      </c>
      <c r="N10" s="217">
        <v>156.19999999999999</v>
      </c>
      <c r="O10" s="217">
        <v>156.19999999999999</v>
      </c>
      <c r="P10" s="217">
        <v>156.19999999999999</v>
      </c>
      <c r="Q10" s="217">
        <v>156.19999999999999</v>
      </c>
    </row>
    <row r="11" spans="1:17">
      <c r="E11" s="209" t="s">
        <v>48</v>
      </c>
      <c r="F11" s="217">
        <v>156</v>
      </c>
      <c r="G11" s="217">
        <v>156</v>
      </c>
      <c r="H11" s="217">
        <v>156</v>
      </c>
      <c r="I11" s="217">
        <v>156</v>
      </c>
      <c r="J11" s="218">
        <v>156</v>
      </c>
      <c r="K11" s="218">
        <v>156</v>
      </c>
      <c r="L11" s="218">
        <v>156</v>
      </c>
      <c r="M11" s="218">
        <v>156</v>
      </c>
      <c r="N11" s="217">
        <v>156.19999999999999</v>
      </c>
      <c r="O11" s="217">
        <v>156.19999999999999</v>
      </c>
      <c r="P11" s="217">
        <v>156.19999999999999</v>
      </c>
      <c r="Q11" s="217">
        <v>156.19999999999999</v>
      </c>
    </row>
    <row r="12" spans="1:17" ht="13.5" customHeight="1">
      <c r="E12" s="209" t="s">
        <v>182</v>
      </c>
      <c r="F12" s="217">
        <v>0</v>
      </c>
      <c r="G12" s="217">
        <v>0</v>
      </c>
      <c r="H12" s="217">
        <v>0</v>
      </c>
      <c r="I12" s="217">
        <v>0</v>
      </c>
      <c r="J12" s="218">
        <v>0</v>
      </c>
      <c r="K12" s="218">
        <v>0</v>
      </c>
      <c r="L12" s="218">
        <v>0</v>
      </c>
      <c r="M12" s="218">
        <v>0</v>
      </c>
      <c r="N12" s="217">
        <v>0</v>
      </c>
      <c r="O12" s="217">
        <v>0</v>
      </c>
      <c r="P12" s="217">
        <v>0</v>
      </c>
      <c r="Q12" s="217">
        <v>0</v>
      </c>
    </row>
    <row r="13" spans="1:17">
      <c r="D13" s="209" t="s">
        <v>3</v>
      </c>
      <c r="F13" s="217">
        <v>0</v>
      </c>
      <c r="G13" s="217">
        <v>0</v>
      </c>
      <c r="H13" s="217">
        <v>0</v>
      </c>
      <c r="I13" s="217">
        <v>0</v>
      </c>
      <c r="J13" s="218">
        <v>0</v>
      </c>
      <c r="K13" s="218">
        <v>0</v>
      </c>
      <c r="L13" s="218">
        <v>0</v>
      </c>
      <c r="M13" s="218">
        <v>0</v>
      </c>
      <c r="N13" s="217">
        <v>0</v>
      </c>
      <c r="O13" s="217">
        <v>0</v>
      </c>
      <c r="P13" s="217">
        <v>0</v>
      </c>
      <c r="Q13" s="217">
        <v>0</v>
      </c>
    </row>
    <row r="14" spans="1:17">
      <c r="C14" s="209" t="s">
        <v>4</v>
      </c>
      <c r="F14" s="216">
        <v>0</v>
      </c>
      <c r="G14" s="216">
        <v>0</v>
      </c>
      <c r="H14" s="216">
        <v>0</v>
      </c>
      <c r="I14" s="216">
        <v>0</v>
      </c>
      <c r="J14" s="215">
        <v>0</v>
      </c>
      <c r="K14" s="215">
        <v>0</v>
      </c>
      <c r="L14" s="215">
        <v>0</v>
      </c>
      <c r="M14" s="215">
        <v>0</v>
      </c>
      <c r="N14" s="216">
        <v>0</v>
      </c>
      <c r="O14" s="216">
        <v>0</v>
      </c>
      <c r="P14" s="216">
        <v>0</v>
      </c>
      <c r="Q14" s="216">
        <v>0</v>
      </c>
    </row>
    <row r="15" spans="1:17" ht="8.25" customHeight="1">
      <c r="F15" s="217"/>
      <c r="G15" s="217"/>
      <c r="J15" s="218"/>
      <c r="L15" s="218"/>
      <c r="N15" s="217"/>
    </row>
    <row r="16" spans="1:17" s="212" customFormat="1" ht="15" customHeight="1">
      <c r="B16" s="212" t="s">
        <v>38</v>
      </c>
      <c r="F16" s="219">
        <v>10162026</v>
      </c>
      <c r="G16" s="219">
        <v>10576540</v>
      </c>
      <c r="H16" s="219">
        <v>10277333</v>
      </c>
      <c r="I16" s="219">
        <v>10308339</v>
      </c>
      <c r="J16" s="220">
        <v>10442687</v>
      </c>
      <c r="K16" s="219">
        <v>10572960</v>
      </c>
      <c r="L16" s="220">
        <v>10752994</v>
      </c>
      <c r="M16" s="219">
        <v>10791452</v>
      </c>
      <c r="N16" s="219">
        <v>10936102.300000001</v>
      </c>
      <c r="O16" s="219">
        <v>10889681</v>
      </c>
      <c r="P16" s="219">
        <v>10921506.300000001</v>
      </c>
      <c r="Q16" s="219">
        <v>10930258.600000001</v>
      </c>
    </row>
    <row r="17" spans="1:148">
      <c r="F17" s="217"/>
      <c r="G17" s="217"/>
      <c r="I17" s="217"/>
      <c r="J17" s="218"/>
      <c r="K17" s="217"/>
      <c r="N17" s="217"/>
      <c r="O17" s="217"/>
    </row>
    <row r="18" spans="1:148" ht="15" customHeight="1">
      <c r="A18" s="212" t="s">
        <v>41</v>
      </c>
      <c r="B18" s="212"/>
      <c r="C18" s="212"/>
      <c r="D18" s="212"/>
      <c r="E18" s="212"/>
      <c r="F18" s="214">
        <v>4628003</v>
      </c>
      <c r="G18" s="214">
        <v>4602002</v>
      </c>
      <c r="H18" s="214">
        <v>4648231</v>
      </c>
      <c r="I18" s="214">
        <v>4708716</v>
      </c>
      <c r="J18" s="214">
        <v>4904760.3100000005</v>
      </c>
      <c r="K18" s="214">
        <v>4910383</v>
      </c>
      <c r="L18" s="214">
        <v>4936837</v>
      </c>
      <c r="M18" s="214">
        <v>4758592.6999999993</v>
      </c>
      <c r="N18" s="214">
        <v>4957047</v>
      </c>
      <c r="O18" s="214">
        <v>5130421</v>
      </c>
      <c r="P18" s="214">
        <v>5169303.5500000007</v>
      </c>
      <c r="Q18" s="214">
        <v>5120886.8999999994</v>
      </c>
    </row>
    <row r="19" spans="1:148">
      <c r="A19" s="212"/>
      <c r="B19" s="212" t="s">
        <v>37</v>
      </c>
      <c r="C19" s="212"/>
      <c r="D19" s="212"/>
      <c r="E19" s="212"/>
      <c r="F19" s="214">
        <v>2193028</v>
      </c>
      <c r="G19" s="214">
        <v>2178732</v>
      </c>
      <c r="H19" s="214">
        <v>2222362</v>
      </c>
      <c r="I19" s="214">
        <v>2251208</v>
      </c>
      <c r="J19" s="214">
        <v>2289031.54</v>
      </c>
      <c r="K19" s="214">
        <v>2292443</v>
      </c>
      <c r="L19" s="214">
        <v>2320010</v>
      </c>
      <c r="M19" s="214">
        <v>2245024.4</v>
      </c>
      <c r="N19" s="214">
        <v>2318595</v>
      </c>
      <c r="O19" s="214">
        <v>2420218</v>
      </c>
      <c r="P19" s="214">
        <v>2445960</v>
      </c>
      <c r="Q19" s="214">
        <v>2438865.2999999998</v>
      </c>
    </row>
    <row r="20" spans="1:148" ht="15.75" customHeight="1">
      <c r="C20" s="209" t="s">
        <v>10</v>
      </c>
      <c r="F20" s="216">
        <v>2193028</v>
      </c>
      <c r="G20" s="216">
        <v>2178732</v>
      </c>
      <c r="H20" s="216">
        <v>2222362</v>
      </c>
      <c r="I20" s="216">
        <v>2251208</v>
      </c>
      <c r="J20" s="216">
        <v>2289031.54</v>
      </c>
      <c r="K20" s="216">
        <v>2292443</v>
      </c>
      <c r="L20" s="216">
        <v>2320010</v>
      </c>
      <c r="M20" s="216">
        <v>2245024.4</v>
      </c>
      <c r="N20" s="216">
        <v>2318595</v>
      </c>
      <c r="O20" s="216">
        <v>2420218</v>
      </c>
      <c r="P20" s="216">
        <v>2445960</v>
      </c>
      <c r="Q20" s="216">
        <v>2438865.2999999998</v>
      </c>
    </row>
    <row r="21" spans="1:148">
      <c r="D21" s="209" t="s">
        <v>2</v>
      </c>
      <c r="F21" s="217">
        <v>2182304</v>
      </c>
      <c r="G21" s="217">
        <v>2168266</v>
      </c>
      <c r="H21" s="217">
        <v>2212290</v>
      </c>
      <c r="I21" s="217">
        <v>2241324</v>
      </c>
      <c r="J21" s="218">
        <v>2279112</v>
      </c>
      <c r="K21" s="217">
        <v>2282825</v>
      </c>
      <c r="L21" s="217">
        <v>2309746</v>
      </c>
      <c r="M21" s="217">
        <v>2234914.4</v>
      </c>
      <c r="N21" s="217">
        <v>2308672</v>
      </c>
      <c r="O21" s="217">
        <v>2410665</v>
      </c>
      <c r="P21" s="217">
        <v>2436188</v>
      </c>
      <c r="Q21" s="217">
        <v>2429789.2999999998</v>
      </c>
    </row>
    <row r="22" spans="1:148">
      <c r="D22" s="209" t="s">
        <v>3</v>
      </c>
      <c r="F22" s="217">
        <v>10724</v>
      </c>
      <c r="G22" s="217">
        <v>10466</v>
      </c>
      <c r="H22" s="217">
        <v>10072</v>
      </c>
      <c r="I22" s="217">
        <v>9884</v>
      </c>
      <c r="J22" s="218">
        <v>9919.5400000000009</v>
      </c>
      <c r="K22" s="217">
        <v>9618</v>
      </c>
      <c r="L22" s="217">
        <v>10264</v>
      </c>
      <c r="M22" s="217">
        <v>10110</v>
      </c>
      <c r="N22" s="217">
        <v>9923</v>
      </c>
      <c r="O22" s="217">
        <v>9553</v>
      </c>
      <c r="P22" s="217">
        <v>9772</v>
      </c>
      <c r="Q22" s="217">
        <v>9076</v>
      </c>
    </row>
    <row r="23" spans="1:148">
      <c r="C23" s="209" t="s">
        <v>4</v>
      </c>
      <c r="F23" s="216">
        <v>0</v>
      </c>
      <c r="G23" s="216">
        <v>0</v>
      </c>
      <c r="H23" s="216">
        <v>0</v>
      </c>
      <c r="I23" s="216">
        <v>0</v>
      </c>
      <c r="J23" s="216">
        <v>0</v>
      </c>
      <c r="K23" s="216">
        <v>0</v>
      </c>
      <c r="L23" s="216">
        <v>0</v>
      </c>
      <c r="M23" s="216">
        <v>0</v>
      </c>
      <c r="N23" s="216">
        <v>0</v>
      </c>
      <c r="O23" s="216">
        <v>0</v>
      </c>
      <c r="P23" s="216">
        <v>0</v>
      </c>
      <c r="Q23" s="216">
        <v>0</v>
      </c>
    </row>
    <row r="24" spans="1:148" ht="11.25" customHeight="1">
      <c r="F24" s="217"/>
      <c r="G24" s="217"/>
      <c r="I24" s="217"/>
      <c r="J24" s="218"/>
      <c r="K24" s="217"/>
      <c r="N24" s="217"/>
      <c r="O24" s="217"/>
    </row>
    <row r="25" spans="1:148" s="212" customFormat="1">
      <c r="B25" s="212" t="s">
        <v>38</v>
      </c>
      <c r="F25" s="219">
        <v>2434975</v>
      </c>
      <c r="G25" s="219">
        <v>2423270</v>
      </c>
      <c r="H25" s="219">
        <v>2425869</v>
      </c>
      <c r="I25" s="219">
        <v>2457508</v>
      </c>
      <c r="J25" s="220">
        <v>2615728.77</v>
      </c>
      <c r="K25" s="219">
        <v>2617940</v>
      </c>
      <c r="L25" s="219">
        <v>2616827</v>
      </c>
      <c r="M25" s="219">
        <v>2513568.2999999998</v>
      </c>
      <c r="N25" s="219">
        <v>2638452</v>
      </c>
      <c r="O25" s="219">
        <v>2710203</v>
      </c>
      <c r="P25" s="219">
        <v>2723343.5500000003</v>
      </c>
      <c r="Q25" s="219">
        <v>2682021.5999999996</v>
      </c>
    </row>
    <row r="26" spans="1:148">
      <c r="F26" s="217"/>
      <c r="G26" s="217"/>
      <c r="I26" s="217"/>
      <c r="J26" s="218"/>
      <c r="K26" s="217"/>
      <c r="N26" s="217"/>
      <c r="O26" s="217"/>
      <c r="ER26" s="209">
        <v>0</v>
      </c>
    </row>
    <row r="27" spans="1:148">
      <c r="F27" s="217"/>
      <c r="G27" s="217"/>
      <c r="I27" s="217"/>
      <c r="J27" s="218"/>
      <c r="K27" s="217"/>
      <c r="N27" s="217"/>
      <c r="O27" s="217"/>
    </row>
    <row r="28" spans="1:148" ht="18.75" customHeight="1">
      <c r="C28" s="221" t="s">
        <v>7</v>
      </c>
      <c r="D28" s="221"/>
      <c r="E28" s="221"/>
      <c r="F28" s="222">
        <v>14790185</v>
      </c>
      <c r="G28" s="222">
        <v>15178698</v>
      </c>
      <c r="H28" s="222">
        <v>14925720</v>
      </c>
      <c r="I28" s="222">
        <v>15017211</v>
      </c>
      <c r="J28" s="222">
        <v>15347603.310000001</v>
      </c>
      <c r="K28" s="222">
        <v>15483499</v>
      </c>
      <c r="L28" s="222">
        <v>15689987</v>
      </c>
      <c r="M28" s="222">
        <v>15550200.699999999</v>
      </c>
      <c r="N28" s="222">
        <v>15893305.5</v>
      </c>
      <c r="O28" s="222">
        <v>16020258.199999999</v>
      </c>
      <c r="P28" s="222">
        <v>16090966.050000001</v>
      </c>
      <c r="Q28" s="222">
        <v>16051301.699999999</v>
      </c>
    </row>
    <row r="29" spans="1:148">
      <c r="A29" s="223"/>
      <c r="B29" s="224"/>
      <c r="C29" s="224"/>
      <c r="D29" s="224"/>
    </row>
    <row r="30" spans="1:148" s="226" customFormat="1">
      <c r="A30" s="225" t="s">
        <v>8</v>
      </c>
      <c r="B30" s="225"/>
      <c r="C30" s="225"/>
      <c r="D30" s="225"/>
      <c r="E30" s="225"/>
      <c r="F30" s="225">
        <v>56.402999999999999</v>
      </c>
      <c r="G30" s="226">
        <v>56.173999999999999</v>
      </c>
      <c r="H30" s="226">
        <v>56.26</v>
      </c>
      <c r="I30" s="226">
        <v>57.582999999999998</v>
      </c>
      <c r="J30" s="226">
        <v>58.524000000000001</v>
      </c>
      <c r="K30" s="226">
        <v>58.658000000000001</v>
      </c>
      <c r="L30" s="227">
        <v>58.488</v>
      </c>
      <c r="M30" s="227">
        <v>56.179000000000002</v>
      </c>
      <c r="N30" s="226">
        <v>56.017000000000003</v>
      </c>
      <c r="O30" s="226">
        <v>58.198</v>
      </c>
      <c r="P30" s="226">
        <v>58.601999999999997</v>
      </c>
      <c r="Q30" s="226">
        <v>57.847000000000001</v>
      </c>
    </row>
    <row r="31" spans="1:148" s="226" customFormat="1">
      <c r="A31" s="225"/>
      <c r="B31" s="225"/>
      <c r="C31" s="225"/>
      <c r="D31" s="225"/>
      <c r="E31" s="225"/>
      <c r="F31" s="225"/>
    </row>
    <row r="32" spans="1:148">
      <c r="A32" s="228" t="s">
        <v>11</v>
      </c>
      <c r="B32" s="228"/>
      <c r="C32" s="228"/>
      <c r="D32" s="228"/>
      <c r="E32" s="228"/>
      <c r="F32" s="228"/>
      <c r="G32" s="228"/>
    </row>
    <row r="33" spans="1:7" s="226" customFormat="1">
      <c r="A33" s="229"/>
      <c r="B33" s="229"/>
      <c r="C33" s="229"/>
      <c r="D33" s="229"/>
      <c r="E33" s="229"/>
      <c r="F33" s="228"/>
      <c r="G33" s="228"/>
    </row>
    <row r="34" spans="1:7">
      <c r="A34" s="255" t="s">
        <v>183</v>
      </c>
    </row>
    <row r="35" spans="1:7">
      <c r="A35" s="228" t="s">
        <v>22</v>
      </c>
      <c r="B35" s="228"/>
      <c r="C35" s="228"/>
      <c r="D35" s="228"/>
      <c r="E35" s="228"/>
      <c r="F35" s="228"/>
      <c r="G35" s="228"/>
    </row>
    <row r="36" spans="1:7">
      <c r="A36" s="226"/>
    </row>
    <row r="37" spans="1:7">
      <c r="E37" s="226"/>
    </row>
    <row r="38" spans="1:7">
      <c r="A38" s="230"/>
      <c r="E38" s="226"/>
    </row>
    <row r="39" spans="1:7">
      <c r="A39" s="230"/>
      <c r="E39" s="226"/>
    </row>
    <row r="40" spans="1:7">
      <c r="A40" s="230"/>
      <c r="E40" s="226"/>
    </row>
    <row r="41" spans="1:7">
      <c r="A41" s="230"/>
      <c r="E41" s="226"/>
    </row>
    <row r="42" spans="1:7">
      <c r="A42" s="230"/>
      <c r="E42" s="226"/>
    </row>
    <row r="43" spans="1:7">
      <c r="A43" s="230"/>
      <c r="E43" s="226"/>
    </row>
    <row r="44" spans="1:7">
      <c r="A44" s="230"/>
      <c r="E44" s="226"/>
    </row>
    <row r="45" spans="1:7">
      <c r="A45" s="230"/>
      <c r="E45" s="226"/>
    </row>
    <row r="46" spans="1:7">
      <c r="A46" s="230"/>
      <c r="E46" s="226"/>
    </row>
    <row r="47" spans="1:7">
      <c r="A47" s="230"/>
      <c r="E47" s="226"/>
    </row>
    <row r="48" spans="1:7">
      <c r="A48" s="230"/>
      <c r="E48" s="226"/>
    </row>
    <row r="49" spans="1:5">
      <c r="A49" s="230"/>
      <c r="E49" s="226"/>
    </row>
    <row r="50" spans="1:5">
      <c r="A50" s="230"/>
      <c r="E50" s="226"/>
    </row>
    <row r="51" spans="1:5">
      <c r="A51" s="230"/>
      <c r="E51" s="226"/>
    </row>
  </sheetData>
  <mergeCells count="1">
    <mergeCell ref="A5:E5"/>
  </mergeCells>
  <pageMargins left="0.35433070866141736" right="0.15748031496062992" top="0.74803149606299213" bottom="0.74803149606299213" header="0.31496062992125984" footer="0.31496062992125984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354C-58F4-498D-BF2F-36C58E51BBC5}">
  <sheetPr>
    <pageSetUpPr fitToPage="1"/>
  </sheetPr>
  <dimension ref="A1:XDU84"/>
  <sheetViews>
    <sheetView tabSelected="1" topLeftCell="A64" zoomScaleNormal="100" workbookViewId="0">
      <selection activeCell="A84" sqref="A84:XFD84"/>
    </sheetView>
  </sheetViews>
  <sheetFormatPr defaultRowHeight="15"/>
  <cols>
    <col min="1" max="2" width="1.85546875" style="209" customWidth="1"/>
    <col min="3" max="3" width="2.28515625" style="209" customWidth="1"/>
    <col min="4" max="4" width="1.7109375" style="209" customWidth="1"/>
    <col min="5" max="5" width="18.85546875" style="209" customWidth="1"/>
    <col min="6" max="13" width="9.140625" style="209"/>
    <col min="14" max="15" width="10.28515625" style="209" customWidth="1"/>
    <col min="16" max="16384" width="9.140625" style="209"/>
  </cols>
  <sheetData>
    <row r="1" spans="1:6" hidden="1">
      <c r="A1" s="208" t="s">
        <v>25</v>
      </c>
      <c r="B1" s="208"/>
      <c r="C1" s="208"/>
      <c r="D1" s="208"/>
      <c r="E1" s="208"/>
      <c r="F1" s="208"/>
    </row>
    <row r="2" spans="1:6" hidden="1">
      <c r="A2" s="234" t="s">
        <v>174</v>
      </c>
      <c r="B2" s="234"/>
      <c r="C2" s="234"/>
      <c r="D2" s="234"/>
      <c r="E2" s="234"/>
      <c r="F2" s="234"/>
    </row>
    <row r="3" spans="1:6" hidden="1">
      <c r="A3" s="235" t="s">
        <v>0</v>
      </c>
      <c r="B3" s="235"/>
      <c r="C3" s="235"/>
      <c r="D3" s="235"/>
      <c r="E3" s="235"/>
      <c r="F3" s="235"/>
    </row>
    <row r="4" spans="1:6" hidden="1">
      <c r="A4" s="210"/>
    </row>
    <row r="5" spans="1:6" hidden="1">
      <c r="A5" s="210"/>
    </row>
    <row r="6" spans="1:6" ht="16.5" hidden="1" customHeight="1">
      <c r="A6" s="236" t="s">
        <v>1</v>
      </c>
      <c r="B6" s="237"/>
      <c r="C6" s="237"/>
      <c r="D6" s="237"/>
      <c r="E6" s="237"/>
      <c r="F6" s="238" t="s">
        <v>5</v>
      </c>
    </row>
    <row r="7" spans="1:6" ht="16.5" hidden="1" customHeight="1">
      <c r="A7" s="239"/>
      <c r="B7" s="239"/>
      <c r="C7" s="239"/>
      <c r="D7" s="239"/>
      <c r="E7" s="239"/>
      <c r="F7" s="240"/>
    </row>
    <row r="8" spans="1:6" ht="14.25" hidden="1" customHeight="1">
      <c r="A8" s="212" t="s">
        <v>6</v>
      </c>
      <c r="B8" s="212"/>
      <c r="C8" s="212"/>
      <c r="D8" s="212"/>
      <c r="E8" s="212"/>
      <c r="F8" s="241">
        <v>3620441</v>
      </c>
    </row>
    <row r="9" spans="1:6" hidden="1">
      <c r="A9" s="212"/>
      <c r="B9" s="212"/>
      <c r="C9" s="212"/>
      <c r="D9" s="212"/>
      <c r="E9" s="212"/>
      <c r="F9" s="241"/>
    </row>
    <row r="10" spans="1:6" hidden="1">
      <c r="B10" s="209" t="s">
        <v>9</v>
      </c>
      <c r="F10" s="242">
        <v>3619999</v>
      </c>
    </row>
    <row r="11" spans="1:6" ht="15" hidden="1" customHeight="1">
      <c r="C11" s="209" t="s">
        <v>169</v>
      </c>
      <c r="F11" s="243">
        <v>3619843</v>
      </c>
    </row>
    <row r="12" spans="1:6" hidden="1">
      <c r="C12" s="209" t="s">
        <v>2</v>
      </c>
      <c r="F12" s="243">
        <v>156</v>
      </c>
    </row>
    <row r="13" spans="1:6" hidden="1">
      <c r="C13" s="209" t="s">
        <v>3</v>
      </c>
      <c r="F13" s="243">
        <v>0</v>
      </c>
    </row>
    <row r="14" spans="1:6" ht="8.25" hidden="1" customHeight="1">
      <c r="F14" s="243"/>
    </row>
    <row r="15" spans="1:6" hidden="1">
      <c r="B15" s="209" t="s">
        <v>4</v>
      </c>
      <c r="F15" s="242">
        <v>442</v>
      </c>
    </row>
    <row r="16" spans="1:6" hidden="1">
      <c r="C16" s="209" t="s">
        <v>12</v>
      </c>
      <c r="F16" s="243">
        <v>0</v>
      </c>
    </row>
    <row r="17" spans="1:6" hidden="1">
      <c r="C17" s="209" t="s">
        <v>13</v>
      </c>
      <c r="F17" s="243">
        <v>442</v>
      </c>
    </row>
    <row r="18" spans="1:6" hidden="1">
      <c r="C18" s="209" t="s">
        <v>14</v>
      </c>
      <c r="F18" s="243">
        <v>0</v>
      </c>
    </row>
    <row r="19" spans="1:6" hidden="1">
      <c r="C19" s="209" t="s">
        <v>15</v>
      </c>
      <c r="F19" s="243">
        <v>0</v>
      </c>
    </row>
    <row r="20" spans="1:6" hidden="1">
      <c r="F20" s="243"/>
    </row>
    <row r="21" spans="1:6" ht="15" hidden="1" customHeight="1">
      <c r="A21" s="212" t="s">
        <v>170</v>
      </c>
      <c r="B21" s="212"/>
      <c r="C21" s="212"/>
      <c r="D21" s="212"/>
      <c r="E21" s="212"/>
      <c r="F21" s="241">
        <v>1973306</v>
      </c>
    </row>
    <row r="22" spans="1:6" ht="15.75" hidden="1" customHeight="1">
      <c r="B22" s="209" t="s">
        <v>10</v>
      </c>
      <c r="F22" s="242">
        <v>719517</v>
      </c>
    </row>
    <row r="23" spans="1:6" hidden="1">
      <c r="C23" s="209" t="s">
        <v>2</v>
      </c>
      <c r="F23" s="243">
        <v>679732</v>
      </c>
    </row>
    <row r="24" spans="1:6" hidden="1">
      <c r="C24" s="209" t="s">
        <v>3</v>
      </c>
      <c r="F24" s="243">
        <v>39785</v>
      </c>
    </row>
    <row r="25" spans="1:6" ht="9" hidden="1" customHeight="1">
      <c r="F25" s="242"/>
    </row>
    <row r="26" spans="1:6" hidden="1">
      <c r="B26" s="209" t="s">
        <v>4</v>
      </c>
      <c r="F26" s="242">
        <v>0</v>
      </c>
    </row>
    <row r="27" spans="1:6" hidden="1">
      <c r="D27" s="209" t="s">
        <v>12</v>
      </c>
      <c r="F27" s="243">
        <v>0</v>
      </c>
    </row>
    <row r="28" spans="1:6" hidden="1">
      <c r="D28" s="209" t="s">
        <v>13</v>
      </c>
      <c r="F28" s="243">
        <v>0</v>
      </c>
    </row>
    <row r="29" spans="1:6" hidden="1">
      <c r="D29" s="209" t="s">
        <v>14</v>
      </c>
      <c r="F29" s="243">
        <v>0</v>
      </c>
    </row>
    <row r="30" spans="1:6" hidden="1">
      <c r="D30" s="209" t="s">
        <v>15</v>
      </c>
      <c r="F30" s="243">
        <v>0</v>
      </c>
    </row>
    <row r="31" spans="1:6" hidden="1">
      <c r="D31" s="209" t="s">
        <v>16</v>
      </c>
      <c r="F31" s="243">
        <v>0</v>
      </c>
    </row>
    <row r="32" spans="1:6" ht="11.25" hidden="1" customHeight="1">
      <c r="F32" s="243"/>
    </row>
    <row r="33" spans="1:152" hidden="1">
      <c r="B33" s="209" t="s">
        <v>173</v>
      </c>
      <c r="F33" s="243">
        <v>1253789</v>
      </c>
    </row>
    <row r="34" spans="1:152" hidden="1">
      <c r="EV34" s="209">
        <v>0</v>
      </c>
    </row>
    <row r="35" spans="1:152" hidden="1"/>
    <row r="36" spans="1:152" hidden="1">
      <c r="C36" s="212" t="s">
        <v>7</v>
      </c>
      <c r="D36" s="212"/>
      <c r="E36" s="212"/>
      <c r="F36" s="244">
        <v>5593748</v>
      </c>
    </row>
    <row r="37" spans="1:152" hidden="1">
      <c r="A37" s="223"/>
      <c r="B37" s="224"/>
      <c r="C37" s="224"/>
      <c r="D37" s="224"/>
    </row>
    <row r="38" spans="1:152" hidden="1">
      <c r="A38" s="209" t="s">
        <v>11</v>
      </c>
    </row>
    <row r="39" spans="1:152" hidden="1">
      <c r="A39" s="212"/>
    </row>
    <row r="40" spans="1:152" s="226" customFormat="1" hidden="1">
      <c r="A40" s="225" t="s">
        <v>8</v>
      </c>
      <c r="B40" s="225"/>
      <c r="C40" s="225"/>
      <c r="D40" s="225"/>
      <c r="E40" s="225"/>
      <c r="F40" s="245">
        <v>45.2</v>
      </c>
    </row>
    <row r="41" spans="1:152" s="226" customFormat="1" hidden="1">
      <c r="A41" s="225"/>
      <c r="B41" s="225"/>
      <c r="C41" s="225"/>
      <c r="D41" s="225"/>
      <c r="E41" s="225"/>
    </row>
    <row r="42" spans="1:152" s="226" customFormat="1" hidden="1">
      <c r="A42" s="225"/>
      <c r="B42" s="225"/>
      <c r="C42" s="225"/>
      <c r="D42" s="225"/>
      <c r="E42" s="225"/>
    </row>
    <row r="43" spans="1:152" hidden="1">
      <c r="A43" s="226" t="s">
        <v>22</v>
      </c>
    </row>
    <row r="44" spans="1:152" hidden="1">
      <c r="A44" s="226"/>
    </row>
    <row r="45" spans="1:152" hidden="1">
      <c r="A45" s="246"/>
      <c r="E45" s="226"/>
    </row>
    <row r="46" spans="1:152" hidden="1">
      <c r="A46" s="230"/>
      <c r="E46" s="226"/>
    </row>
    <row r="47" spans="1:152" hidden="1">
      <c r="A47" s="230"/>
      <c r="E47" s="226"/>
    </row>
    <row r="48" spans="1:152" hidden="1">
      <c r="A48" s="230"/>
      <c r="E48" s="226"/>
    </row>
    <row r="49" spans="1:6" hidden="1">
      <c r="A49" s="230"/>
      <c r="E49" s="226"/>
    </row>
    <row r="50" spans="1:6" hidden="1">
      <c r="A50" s="230"/>
      <c r="E50" s="226"/>
    </row>
    <row r="51" spans="1:6" hidden="1">
      <c r="A51" s="230"/>
      <c r="E51" s="226"/>
    </row>
    <row r="52" spans="1:6" hidden="1">
      <c r="A52" s="230"/>
      <c r="E52" s="226"/>
    </row>
    <row r="53" spans="1:6" hidden="1">
      <c r="A53" s="230"/>
      <c r="E53" s="226"/>
    </row>
    <row r="54" spans="1:6" hidden="1">
      <c r="A54" s="230"/>
      <c r="E54" s="226"/>
    </row>
    <row r="55" spans="1:6" hidden="1">
      <c r="A55" s="230"/>
      <c r="E55" s="226"/>
    </row>
    <row r="56" spans="1:6" hidden="1">
      <c r="A56" s="230"/>
      <c r="E56" s="226"/>
    </row>
    <row r="57" spans="1:6" hidden="1">
      <c r="A57" s="230"/>
      <c r="E57" s="226"/>
    </row>
    <row r="58" spans="1:6" hidden="1">
      <c r="A58" s="230"/>
      <c r="E58" s="226"/>
    </row>
    <row r="59" spans="1:6" hidden="1">
      <c r="A59" s="230"/>
      <c r="E59" s="226"/>
    </row>
    <row r="60" spans="1:6" hidden="1">
      <c r="A60" s="230"/>
      <c r="E60" s="226"/>
    </row>
    <row r="61" spans="1:6">
      <c r="A61" s="208" t="s">
        <v>138</v>
      </c>
      <c r="B61" s="208"/>
      <c r="C61" s="208"/>
      <c r="D61" s="208"/>
      <c r="E61" s="208"/>
      <c r="F61" s="208"/>
    </row>
    <row r="62" spans="1:6">
      <c r="A62" s="208" t="str">
        <f>'[8]2024'!A2</f>
        <v>As of December 2024</v>
      </c>
      <c r="B62" s="208"/>
      <c r="C62" s="208"/>
      <c r="D62" s="208"/>
      <c r="E62" s="208"/>
      <c r="F62" s="208"/>
    </row>
    <row r="63" spans="1:6">
      <c r="A63" s="210" t="s">
        <v>0</v>
      </c>
      <c r="B63" s="210"/>
      <c r="C63" s="210"/>
      <c r="D63" s="210"/>
      <c r="E63" s="210"/>
      <c r="F63" s="210"/>
    </row>
    <row r="64" spans="1:6" ht="8.25" customHeight="1">
      <c r="A64" s="247"/>
      <c r="B64" s="247"/>
      <c r="C64" s="247"/>
      <c r="D64" s="247"/>
      <c r="E64" s="247"/>
      <c r="F64" s="247"/>
    </row>
    <row r="65" spans="1:17 16349:16349" ht="19.5" customHeight="1">
      <c r="A65" s="253" t="s">
        <v>1</v>
      </c>
      <c r="B65" s="253"/>
      <c r="C65" s="253"/>
      <c r="D65" s="253"/>
      <c r="E65" s="253"/>
      <c r="F65" s="254" t="s">
        <v>5</v>
      </c>
      <c r="G65" s="254" t="s">
        <v>23</v>
      </c>
      <c r="H65" s="254" t="s">
        <v>24</v>
      </c>
      <c r="I65" s="254" t="s">
        <v>26</v>
      </c>
      <c r="J65" s="254" t="s">
        <v>27</v>
      </c>
      <c r="K65" s="254" t="s">
        <v>36</v>
      </c>
      <c r="L65" s="254" t="s">
        <v>28</v>
      </c>
      <c r="M65" s="254" t="s">
        <v>29</v>
      </c>
      <c r="N65" s="254" t="s">
        <v>39</v>
      </c>
      <c r="O65" s="254" t="s">
        <v>31</v>
      </c>
      <c r="P65" s="254" t="s">
        <v>32</v>
      </c>
      <c r="Q65" s="254" t="s">
        <v>33</v>
      </c>
    </row>
    <row r="66" spans="1:17 16349:16349" ht="6.75" customHeight="1">
      <c r="F66" s="248"/>
      <c r="G66" s="248"/>
      <c r="H66" s="248"/>
      <c r="I66" s="248"/>
      <c r="J66" s="248"/>
      <c r="K66" s="248"/>
      <c r="L66" s="248"/>
      <c r="M66" s="248"/>
    </row>
    <row r="67" spans="1:17 16349:16349" ht="17.25" customHeight="1">
      <c r="A67" s="221" t="s">
        <v>17</v>
      </c>
      <c r="B67" s="221"/>
      <c r="C67" s="221"/>
      <c r="D67" s="221"/>
      <c r="E67" s="221"/>
      <c r="F67" s="249">
        <v>348660</v>
      </c>
      <c r="G67" s="249">
        <v>344929</v>
      </c>
      <c r="H67" s="249">
        <v>346041</v>
      </c>
      <c r="I67" s="222">
        <v>356057</v>
      </c>
      <c r="J67" s="222">
        <v>350203</v>
      </c>
      <c r="K67" s="222">
        <v>343647</v>
      </c>
      <c r="L67" s="250">
        <f>SUM(L69+L76)</f>
        <v>344790.6</v>
      </c>
      <c r="M67" s="250">
        <f>SUM(M69+M76)</f>
        <v>364025.67</v>
      </c>
      <c r="N67" s="250">
        <f>SUM(N69+N76)</f>
        <v>372862</v>
      </c>
      <c r="O67" s="250">
        <f>SUM(O69+O76)</f>
        <v>411759</v>
      </c>
      <c r="P67" s="250">
        <f>SUM(P69+P76)</f>
        <v>422033.63</v>
      </c>
      <c r="Q67" s="250">
        <f>SUM(Q69+Q76)</f>
        <v>346659</v>
      </c>
    </row>
    <row r="68" spans="1:17 16349:16349">
      <c r="A68" s="212"/>
      <c r="B68" s="212"/>
      <c r="C68" s="212"/>
      <c r="D68" s="212"/>
      <c r="E68" s="212"/>
      <c r="F68" s="241"/>
      <c r="G68" s="241"/>
      <c r="H68" s="241"/>
      <c r="I68" s="214"/>
      <c r="N68" s="217"/>
      <c r="O68" s="217"/>
      <c r="P68" s="217"/>
      <c r="Q68" s="217"/>
    </row>
    <row r="69" spans="1:17 16349:16349">
      <c r="A69" s="212"/>
      <c r="B69" s="212" t="s">
        <v>18</v>
      </c>
      <c r="C69" s="212"/>
      <c r="D69" s="212"/>
      <c r="E69" s="212"/>
      <c r="F69" s="241">
        <v>180645</v>
      </c>
      <c r="G69" s="241">
        <v>181932</v>
      </c>
      <c r="H69" s="241">
        <v>184414</v>
      </c>
      <c r="I69" s="214">
        <v>191951</v>
      </c>
      <c r="J69" s="214">
        <v>187587</v>
      </c>
      <c r="K69" s="214">
        <f>SUM(K71+K72)</f>
        <v>182571</v>
      </c>
      <c r="L69" s="214">
        <f t="shared" ref="L69:Q69" si="0">SUM(L71+L72)</f>
        <v>180859</v>
      </c>
      <c r="M69" s="214">
        <f t="shared" si="0"/>
        <v>205158.27</v>
      </c>
      <c r="N69" s="214">
        <f t="shared" si="0"/>
        <v>214958</v>
      </c>
      <c r="O69" s="214">
        <f t="shared" si="0"/>
        <v>250807</v>
      </c>
      <c r="P69" s="214">
        <f t="shared" si="0"/>
        <v>259756.24</v>
      </c>
      <c r="Q69" s="214">
        <f t="shared" si="0"/>
        <v>255506</v>
      </c>
    </row>
    <row r="70" spans="1:17 16349:16349" ht="4.5" customHeight="1">
      <c r="A70" s="212"/>
      <c r="B70" s="212"/>
      <c r="C70" s="212"/>
      <c r="D70" s="212"/>
      <c r="E70" s="212"/>
      <c r="F70" s="241"/>
      <c r="G70" s="241"/>
      <c r="I70" s="217"/>
      <c r="N70" s="217"/>
    </row>
    <row r="71" spans="1:17 16349:16349">
      <c r="C71" s="209" t="s">
        <v>167</v>
      </c>
      <c r="F71" s="243">
        <v>180509</v>
      </c>
      <c r="G71" s="217">
        <v>181796</v>
      </c>
      <c r="H71" s="217">
        <v>184278</v>
      </c>
      <c r="I71" s="217">
        <v>191815</v>
      </c>
      <c r="J71" s="217">
        <v>187451</v>
      </c>
      <c r="K71" s="217">
        <v>182435</v>
      </c>
      <c r="L71" s="217">
        <v>180723</v>
      </c>
      <c r="M71" s="217">
        <v>205022.27</v>
      </c>
      <c r="N71" s="217">
        <v>214822</v>
      </c>
      <c r="O71" s="217">
        <v>250671</v>
      </c>
      <c r="P71" s="217">
        <v>259620.24</v>
      </c>
      <c r="Q71" s="217">
        <v>255370</v>
      </c>
    </row>
    <row r="72" spans="1:17 16349:16349">
      <c r="C72" s="209" t="s">
        <v>19</v>
      </c>
      <c r="F72" s="242">
        <v>136</v>
      </c>
      <c r="G72" s="242">
        <v>136</v>
      </c>
      <c r="H72" s="242">
        <v>136</v>
      </c>
      <c r="I72" s="216">
        <v>136</v>
      </c>
      <c r="J72" s="216">
        <v>136</v>
      </c>
      <c r="K72" s="216">
        <f>SUM(K73:K74)</f>
        <v>136</v>
      </c>
      <c r="L72" s="216">
        <f t="shared" ref="L72:Q72" si="1">SUM(L73:L74)</f>
        <v>136</v>
      </c>
      <c r="M72" s="216">
        <f t="shared" si="1"/>
        <v>136</v>
      </c>
      <c r="N72" s="216">
        <f t="shared" si="1"/>
        <v>136</v>
      </c>
      <c r="O72" s="216">
        <f t="shared" si="1"/>
        <v>136</v>
      </c>
      <c r="P72" s="216">
        <f t="shared" si="1"/>
        <v>136</v>
      </c>
      <c r="Q72" s="216">
        <f t="shared" si="1"/>
        <v>136</v>
      </c>
    </row>
    <row r="73" spans="1:17 16349:16349">
      <c r="D73" s="209" t="s">
        <v>20</v>
      </c>
      <c r="F73" s="243">
        <v>37</v>
      </c>
      <c r="G73" s="243">
        <v>37</v>
      </c>
      <c r="H73" s="243">
        <v>37</v>
      </c>
      <c r="I73" s="217">
        <v>37</v>
      </c>
      <c r="J73" s="217">
        <v>37</v>
      </c>
      <c r="K73" s="217">
        <v>37</v>
      </c>
      <c r="L73" s="217">
        <v>37</v>
      </c>
      <c r="M73" s="217">
        <v>37</v>
      </c>
      <c r="N73" s="217">
        <v>37</v>
      </c>
      <c r="O73" s="217">
        <v>37</v>
      </c>
      <c r="P73" s="217">
        <v>37</v>
      </c>
      <c r="Q73" s="217">
        <v>37</v>
      </c>
    </row>
    <row r="74" spans="1:17 16349:16349">
      <c r="D74" s="209" t="s">
        <v>15</v>
      </c>
      <c r="F74" s="243">
        <v>99</v>
      </c>
      <c r="G74" s="243">
        <v>99</v>
      </c>
      <c r="H74" s="243">
        <v>99</v>
      </c>
      <c r="I74" s="217">
        <v>99</v>
      </c>
      <c r="J74" s="217">
        <v>99</v>
      </c>
      <c r="K74" s="217">
        <v>99</v>
      </c>
      <c r="L74" s="217">
        <v>99</v>
      </c>
      <c r="M74" s="217">
        <v>99</v>
      </c>
      <c r="N74" s="217">
        <v>99</v>
      </c>
      <c r="O74" s="217">
        <v>99</v>
      </c>
      <c r="P74" s="217">
        <v>99</v>
      </c>
      <c r="Q74" s="217">
        <v>99</v>
      </c>
    </row>
    <row r="75" spans="1:17 16349:16349">
      <c r="F75" s="243"/>
      <c r="G75" s="243"/>
      <c r="H75" s="243"/>
      <c r="I75" s="217"/>
      <c r="N75" s="217"/>
      <c r="O75" s="217"/>
      <c r="Q75" s="217"/>
    </row>
    <row r="76" spans="1:17 16349:16349">
      <c r="A76" s="212"/>
      <c r="B76" s="212" t="s">
        <v>168</v>
      </c>
      <c r="C76" s="212"/>
      <c r="D76" s="212"/>
      <c r="E76" s="212"/>
      <c r="F76" s="241">
        <v>168015</v>
      </c>
      <c r="G76" s="241">
        <v>162997</v>
      </c>
      <c r="H76" s="241">
        <v>161627</v>
      </c>
      <c r="I76" s="214">
        <v>164106</v>
      </c>
      <c r="J76" s="214">
        <v>162616</v>
      </c>
      <c r="K76" s="214">
        <f>SUM(K78+K79)</f>
        <v>161076</v>
      </c>
      <c r="L76" s="214">
        <f t="shared" ref="L76:O76" si="2">SUM(L78+L79)</f>
        <v>163931.6</v>
      </c>
      <c r="M76" s="214">
        <f t="shared" si="2"/>
        <v>158867.4</v>
      </c>
      <c r="N76" s="214">
        <f t="shared" si="2"/>
        <v>157904</v>
      </c>
      <c r="O76" s="214">
        <f t="shared" si="2"/>
        <v>160952</v>
      </c>
      <c r="P76" s="214">
        <f>SUM(P78+P79)</f>
        <v>162277.39000000001</v>
      </c>
      <c r="Q76" s="214">
        <f>SUM(Q78+Q79)</f>
        <v>91153</v>
      </c>
      <c r="XDU76" s="212"/>
    </row>
    <row r="77" spans="1:17 16349:16349" ht="3.75" customHeight="1">
      <c r="A77" s="212"/>
      <c r="B77" s="212"/>
      <c r="C77" s="212"/>
      <c r="D77" s="212"/>
      <c r="E77" s="212"/>
      <c r="F77" s="241"/>
      <c r="I77" s="217"/>
      <c r="N77" s="217"/>
      <c r="O77" s="217"/>
      <c r="Q77" s="217"/>
    </row>
    <row r="78" spans="1:17 16349:16349">
      <c r="C78" s="209" t="s">
        <v>167</v>
      </c>
      <c r="F78" s="243">
        <v>163193</v>
      </c>
      <c r="G78" s="209">
        <v>158194</v>
      </c>
      <c r="H78" s="217">
        <v>156817</v>
      </c>
      <c r="I78" s="217">
        <v>159183</v>
      </c>
      <c r="J78" s="217">
        <v>157612</v>
      </c>
      <c r="K78" s="217">
        <v>156061</v>
      </c>
      <c r="L78" s="243">
        <v>158931.4</v>
      </c>
      <c r="M78" s="243">
        <v>154064</v>
      </c>
      <c r="N78" s="217">
        <v>153114</v>
      </c>
      <c r="O78" s="217">
        <v>155977</v>
      </c>
      <c r="P78" s="217">
        <v>157268.54</v>
      </c>
      <c r="Q78" s="217">
        <v>86210</v>
      </c>
    </row>
    <row r="79" spans="1:17 16349:16349">
      <c r="C79" s="209" t="s">
        <v>19</v>
      </c>
      <c r="F79" s="242">
        <v>4822</v>
      </c>
      <c r="G79" s="242">
        <v>4803</v>
      </c>
      <c r="H79" s="216">
        <v>4810</v>
      </c>
      <c r="I79" s="216">
        <v>4923</v>
      </c>
      <c r="J79" s="216">
        <v>5004</v>
      </c>
      <c r="K79" s="216">
        <f>SUM(K80:K80)</f>
        <v>5015</v>
      </c>
      <c r="L79" s="216">
        <f>SUM(L80:L80)</f>
        <v>5000.2</v>
      </c>
      <c r="M79" s="216">
        <f>SUM(M80:M80)</f>
        <v>4803.3999999999996</v>
      </c>
      <c r="N79" s="216">
        <f>SUM(N80:N80)</f>
        <v>4790</v>
      </c>
      <c r="O79" s="251">
        <f>+SUM(O80:O80)</f>
        <v>4975</v>
      </c>
      <c r="P79" s="251">
        <f>+SUM(P80:P80)</f>
        <v>5008.8500000000004</v>
      </c>
      <c r="Q79" s="251">
        <f>+SUM(Q80:Q80)</f>
        <v>4943</v>
      </c>
    </row>
    <row r="80" spans="1:17 16349:16349">
      <c r="D80" s="209" t="s">
        <v>12</v>
      </c>
      <c r="F80" s="243">
        <v>4822</v>
      </c>
      <c r="G80" s="243">
        <v>4803</v>
      </c>
      <c r="H80" s="217">
        <v>4810</v>
      </c>
      <c r="I80" s="217">
        <v>4923</v>
      </c>
      <c r="J80" s="209">
        <v>5004</v>
      </c>
      <c r="K80" s="217">
        <v>5015</v>
      </c>
      <c r="L80" s="243">
        <v>5000.2</v>
      </c>
      <c r="M80" s="243">
        <v>4803.3999999999996</v>
      </c>
      <c r="N80" s="217">
        <v>4790</v>
      </c>
      <c r="O80" s="252">
        <v>4975</v>
      </c>
      <c r="P80" s="217">
        <v>5008.8500000000004</v>
      </c>
      <c r="Q80" s="217">
        <v>4943</v>
      </c>
    </row>
    <row r="81" spans="1:17">
      <c r="A81" s="223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</row>
    <row r="82" spans="1:17" s="226" customFormat="1">
      <c r="A82" s="228" t="s">
        <v>11</v>
      </c>
      <c r="B82" s="228"/>
      <c r="C82" s="228"/>
      <c r="D82" s="228"/>
      <c r="E82" s="228"/>
      <c r="F82" s="228"/>
      <c r="G82" s="228"/>
    </row>
    <row r="84" spans="1:17">
      <c r="A84" s="255" t="s">
        <v>183</v>
      </c>
    </row>
  </sheetData>
  <mergeCells count="4">
    <mergeCell ref="A2:F2"/>
    <mergeCell ref="A3:F3"/>
    <mergeCell ref="A6:E6"/>
    <mergeCell ref="A65:E65"/>
  </mergeCells>
  <pageMargins left="0.24" right="0" top="0.74803149606299213" bottom="0.74803149606299213" header="0.31496062992125984" footer="0.31496062992125984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1548-3AA5-4367-B83F-2DEC3495886C}">
  <sheetPr codeName="Sheet2">
    <pageSetUpPr fitToPage="1"/>
  </sheetPr>
  <dimension ref="A1:Q61"/>
  <sheetViews>
    <sheetView zoomScale="112" zoomScaleNormal="112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A5" sqref="A5:E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20.7109375" style="2" customWidth="1"/>
    <col min="6" max="17" width="10.28515625" style="2" customWidth="1"/>
    <col min="18" max="16384" width="9.140625" style="2"/>
  </cols>
  <sheetData>
    <row r="1" spans="1:17">
      <c r="A1" s="19" t="s">
        <v>25</v>
      </c>
      <c r="B1" s="19"/>
      <c r="C1" s="19"/>
      <c r="D1" s="19"/>
      <c r="E1" s="19"/>
      <c r="F1" s="19"/>
    </row>
    <row r="2" spans="1:17">
      <c r="A2" s="19" t="s">
        <v>122</v>
      </c>
      <c r="B2" s="19"/>
      <c r="C2" s="19"/>
      <c r="D2" s="19"/>
      <c r="E2" s="19"/>
      <c r="F2" s="19"/>
    </row>
    <row r="3" spans="1:17">
      <c r="A3" s="4" t="s">
        <v>0</v>
      </c>
      <c r="B3" s="4"/>
      <c r="C3" s="4"/>
      <c r="D3" s="4"/>
      <c r="E3" s="4"/>
      <c r="F3" s="4"/>
    </row>
    <row r="4" spans="1:17" ht="12" customHeight="1">
      <c r="A4" s="4"/>
    </row>
    <row r="5" spans="1:17" ht="18" customHeight="1">
      <c r="A5" s="177" t="s">
        <v>1</v>
      </c>
      <c r="B5" s="178"/>
      <c r="C5" s="178"/>
      <c r="D5" s="178"/>
      <c r="E5" s="178"/>
      <c r="F5" s="18" t="s">
        <v>5</v>
      </c>
      <c r="G5" s="18" t="s">
        <v>23</v>
      </c>
      <c r="H5" s="18" t="s">
        <v>24</v>
      </c>
      <c r="I5" s="18" t="s">
        <v>26</v>
      </c>
      <c r="J5" s="18" t="s">
        <v>27</v>
      </c>
      <c r="K5" s="18" t="s">
        <v>36</v>
      </c>
      <c r="L5" s="18" t="s">
        <v>28</v>
      </c>
      <c r="M5" s="18" t="s">
        <v>29</v>
      </c>
      <c r="N5" s="18" t="s">
        <v>39</v>
      </c>
      <c r="O5" s="18" t="s">
        <v>31</v>
      </c>
      <c r="P5" s="18" t="s">
        <v>32</v>
      </c>
      <c r="Q5" s="18" t="s">
        <v>33</v>
      </c>
    </row>
    <row r="6" spans="1:17" ht="9" customHeight="1">
      <c r="A6" s="5"/>
      <c r="B6" s="5"/>
      <c r="C6" s="5"/>
      <c r="D6" s="5"/>
      <c r="E6" s="5"/>
      <c r="F6" s="5"/>
    </row>
    <row r="7" spans="1:17" ht="14.25" customHeight="1">
      <c r="A7" s="1" t="s">
        <v>6</v>
      </c>
      <c r="B7" s="1"/>
      <c r="C7" s="1"/>
      <c r="D7" s="1"/>
      <c r="E7" s="1"/>
      <c r="F7" s="13">
        <v>9384941</v>
      </c>
      <c r="G7" s="13">
        <v>9442162</v>
      </c>
      <c r="H7" s="13">
        <v>9513160</v>
      </c>
      <c r="I7" s="13">
        <v>9457840</v>
      </c>
      <c r="J7" s="13">
        <v>9588514</v>
      </c>
      <c r="K7" s="20">
        <v>9702829</v>
      </c>
      <c r="L7" s="20">
        <v>9812367</v>
      </c>
      <c r="M7" s="20">
        <v>9791126</v>
      </c>
      <c r="N7" s="20">
        <v>9734356</v>
      </c>
      <c r="O7" s="20">
        <v>9902337</v>
      </c>
      <c r="P7" s="21">
        <v>10024409</v>
      </c>
      <c r="Q7" s="21">
        <v>10017930</v>
      </c>
    </row>
    <row r="8" spans="1:17">
      <c r="A8" s="1"/>
      <c r="B8" s="1" t="s">
        <v>37</v>
      </c>
      <c r="C8" s="1"/>
      <c r="D8" s="1"/>
      <c r="E8" s="1"/>
      <c r="F8" s="13">
        <v>156</v>
      </c>
      <c r="G8" s="13">
        <v>156</v>
      </c>
      <c r="H8" s="13">
        <v>156</v>
      </c>
      <c r="I8" s="13">
        <v>156</v>
      </c>
      <c r="J8" s="13">
        <v>156</v>
      </c>
      <c r="K8" s="20">
        <v>156</v>
      </c>
      <c r="L8" s="20">
        <v>156</v>
      </c>
      <c r="M8" s="20">
        <v>156</v>
      </c>
      <c r="N8" s="20">
        <v>156</v>
      </c>
      <c r="O8" s="20">
        <v>156</v>
      </c>
      <c r="P8" s="21">
        <v>156</v>
      </c>
      <c r="Q8" s="21">
        <v>156</v>
      </c>
    </row>
    <row r="9" spans="1:17">
      <c r="C9" s="2" t="s">
        <v>10</v>
      </c>
      <c r="F9" s="14">
        <v>156</v>
      </c>
      <c r="G9" s="14">
        <v>156</v>
      </c>
      <c r="H9" s="14">
        <v>156</v>
      </c>
      <c r="I9" s="14">
        <v>156</v>
      </c>
      <c r="J9" s="14">
        <v>156</v>
      </c>
      <c r="K9" s="22">
        <v>156</v>
      </c>
      <c r="L9" s="22">
        <v>156</v>
      </c>
      <c r="M9" s="22">
        <v>156</v>
      </c>
      <c r="N9" s="22">
        <v>156</v>
      </c>
      <c r="O9" s="22">
        <v>156</v>
      </c>
      <c r="P9" s="23">
        <v>156</v>
      </c>
      <c r="Q9" s="23">
        <v>156</v>
      </c>
    </row>
    <row r="10" spans="1:17">
      <c r="D10" s="2" t="s">
        <v>2</v>
      </c>
      <c r="F10" s="15">
        <v>156</v>
      </c>
      <c r="G10" s="15">
        <v>156</v>
      </c>
      <c r="H10" s="15">
        <v>156</v>
      </c>
      <c r="I10" s="15">
        <v>156</v>
      </c>
      <c r="J10" s="15">
        <v>156</v>
      </c>
      <c r="K10" s="24">
        <v>156</v>
      </c>
      <c r="L10" s="24">
        <v>156</v>
      </c>
      <c r="M10" s="24">
        <v>156</v>
      </c>
      <c r="N10" s="24">
        <v>156</v>
      </c>
      <c r="O10" s="24">
        <v>156</v>
      </c>
      <c r="P10" s="25">
        <v>156</v>
      </c>
      <c r="Q10" s="25">
        <v>156</v>
      </c>
    </row>
    <row r="11" spans="1:17">
      <c r="E11" s="2" t="s">
        <v>48</v>
      </c>
      <c r="F11" s="15">
        <v>156</v>
      </c>
      <c r="G11" s="15">
        <v>156</v>
      </c>
      <c r="H11" s="15">
        <v>156</v>
      </c>
      <c r="I11" s="15">
        <v>156</v>
      </c>
      <c r="J11" s="15">
        <v>156</v>
      </c>
      <c r="K11" s="24">
        <v>156</v>
      </c>
      <c r="L11" s="24">
        <v>156</v>
      </c>
      <c r="M11" s="24">
        <v>156</v>
      </c>
      <c r="N11" s="24">
        <v>156</v>
      </c>
      <c r="O11" s="24">
        <v>156</v>
      </c>
      <c r="P11" s="25">
        <v>156</v>
      </c>
      <c r="Q11" s="25">
        <v>156</v>
      </c>
    </row>
    <row r="12" spans="1:17" ht="13.5" hidden="1" customHeight="1">
      <c r="E12" s="2" t="s">
        <v>126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5">
        <v>0</v>
      </c>
      <c r="Q12" s="25">
        <v>0</v>
      </c>
    </row>
    <row r="13" spans="1:17">
      <c r="D13" s="2" t="s">
        <v>3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3">
        <v>0</v>
      </c>
      <c r="Q13" s="23">
        <v>0</v>
      </c>
    </row>
    <row r="14" spans="1:17">
      <c r="C14" s="2" t="s">
        <v>4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3">
        <v>0</v>
      </c>
      <c r="Q14" s="23">
        <v>0</v>
      </c>
    </row>
    <row r="15" spans="1:17" hidden="1">
      <c r="D15" s="2" t="s">
        <v>12</v>
      </c>
      <c r="F15" s="15">
        <v>0</v>
      </c>
      <c r="G15" s="15">
        <v>0</v>
      </c>
      <c r="H15" s="15"/>
      <c r="I15" s="15"/>
      <c r="K15" s="24"/>
      <c r="P15" s="25"/>
    </row>
    <row r="16" spans="1:17" hidden="1">
      <c r="D16" s="2" t="s">
        <v>13</v>
      </c>
      <c r="F16" s="15">
        <v>0</v>
      </c>
      <c r="G16" s="15">
        <v>0</v>
      </c>
      <c r="H16" s="15"/>
      <c r="I16" s="15"/>
      <c r="K16" s="24"/>
      <c r="P16" s="25"/>
    </row>
    <row r="17" spans="1:17" hidden="1">
      <c r="D17" s="2" t="s">
        <v>14</v>
      </c>
      <c r="F17" s="15">
        <v>0</v>
      </c>
      <c r="G17" s="15">
        <v>0</v>
      </c>
      <c r="H17" s="15"/>
      <c r="I17" s="15"/>
      <c r="K17" s="24"/>
      <c r="P17" s="25"/>
    </row>
    <row r="18" spans="1:17" hidden="1">
      <c r="D18" s="2" t="s">
        <v>15</v>
      </c>
      <c r="F18" s="15">
        <v>0</v>
      </c>
      <c r="G18" s="15">
        <v>0</v>
      </c>
      <c r="H18" s="15"/>
      <c r="I18" s="15"/>
      <c r="K18" s="24"/>
      <c r="P18" s="25"/>
    </row>
    <row r="19" spans="1:17" ht="8.25" customHeight="1">
      <c r="F19" s="15"/>
      <c r="G19" s="15"/>
      <c r="H19" s="15"/>
      <c r="I19" s="15"/>
      <c r="K19" s="24"/>
      <c r="P19" s="25"/>
    </row>
    <row r="20" spans="1:17" s="1" customFormat="1" ht="15" customHeight="1">
      <c r="B20" s="1" t="s">
        <v>38</v>
      </c>
      <c r="F20" s="16">
        <v>9384785</v>
      </c>
      <c r="G20" s="16">
        <v>9442006</v>
      </c>
      <c r="H20" s="16">
        <v>9513004</v>
      </c>
      <c r="I20" s="16">
        <v>9457684</v>
      </c>
      <c r="J20" s="26">
        <v>9588358</v>
      </c>
      <c r="K20" s="27">
        <v>9702673</v>
      </c>
      <c r="L20" s="27">
        <v>9812211</v>
      </c>
      <c r="M20" s="27">
        <v>9790970</v>
      </c>
      <c r="N20" s="28">
        <v>9734200</v>
      </c>
      <c r="O20" s="27">
        <v>9902181</v>
      </c>
      <c r="P20" s="28">
        <v>10024253</v>
      </c>
      <c r="Q20" s="28">
        <v>10017774</v>
      </c>
    </row>
    <row r="21" spans="1:17">
      <c r="F21" s="15"/>
      <c r="G21" s="15"/>
      <c r="H21" s="15"/>
      <c r="I21" s="15"/>
      <c r="K21" s="24"/>
      <c r="M21" s="24"/>
      <c r="O21" s="29"/>
      <c r="P21" s="25"/>
    </row>
    <row r="22" spans="1:17" ht="15" customHeight="1">
      <c r="A22" s="1" t="s">
        <v>41</v>
      </c>
      <c r="B22" s="1"/>
      <c r="C22" s="1"/>
      <c r="D22" s="1"/>
      <c r="E22" s="1"/>
      <c r="F22" s="13">
        <v>4313553</v>
      </c>
      <c r="G22" s="13">
        <v>4310592</v>
      </c>
      <c r="H22" s="13">
        <v>4343736</v>
      </c>
      <c r="I22" s="13">
        <v>4453299</v>
      </c>
      <c r="J22" s="30">
        <v>4508028</v>
      </c>
      <c r="K22" s="20">
        <v>4445021</v>
      </c>
      <c r="L22" s="20">
        <v>4431926</v>
      </c>
      <c r="M22" s="20">
        <v>4558455</v>
      </c>
      <c r="N22" s="20">
        <v>4534314</v>
      </c>
      <c r="O22" s="20">
        <v>4578463</v>
      </c>
      <c r="P22" s="20">
        <v>4484314</v>
      </c>
      <c r="Q22" s="20">
        <v>4598336.76</v>
      </c>
    </row>
    <row r="23" spans="1:17">
      <c r="A23" s="1"/>
      <c r="B23" s="1" t="s">
        <v>37</v>
      </c>
      <c r="C23" s="1"/>
      <c r="D23" s="1"/>
      <c r="E23" s="1"/>
      <c r="F23" s="13">
        <v>1868183</v>
      </c>
      <c r="G23" s="13">
        <v>1883078</v>
      </c>
      <c r="H23" s="13">
        <v>1947472</v>
      </c>
      <c r="I23" s="13">
        <v>2006693</v>
      </c>
      <c r="J23" s="30">
        <v>2036246</v>
      </c>
      <c r="K23" s="20">
        <v>2009725</v>
      </c>
      <c r="L23" s="20">
        <v>2016650</v>
      </c>
      <c r="M23" s="20">
        <v>2074242</v>
      </c>
      <c r="N23" s="20">
        <v>2066565</v>
      </c>
      <c r="O23" s="20">
        <v>2103915</v>
      </c>
      <c r="P23" s="20">
        <v>2061244</v>
      </c>
      <c r="Q23" s="20">
        <v>2113811.7599999998</v>
      </c>
    </row>
    <row r="24" spans="1:17" ht="15.75" customHeight="1">
      <c r="C24" s="2" t="s">
        <v>10</v>
      </c>
      <c r="F24" s="17">
        <v>1868183</v>
      </c>
      <c r="G24" s="17">
        <v>1883078</v>
      </c>
      <c r="H24" s="17">
        <v>1947472</v>
      </c>
      <c r="I24" s="17">
        <v>2006693</v>
      </c>
      <c r="J24" s="31">
        <v>2036246</v>
      </c>
      <c r="K24" s="32">
        <v>2009725</v>
      </c>
      <c r="L24" s="32">
        <v>2016650</v>
      </c>
      <c r="M24" s="32">
        <v>2074242</v>
      </c>
      <c r="N24" s="32">
        <v>2066565</v>
      </c>
      <c r="O24" s="32">
        <v>2103915</v>
      </c>
      <c r="P24" s="32">
        <v>2061244</v>
      </c>
      <c r="Q24" s="32">
        <v>2113811.7599999998</v>
      </c>
    </row>
    <row r="25" spans="1:17">
      <c r="D25" s="2" t="s">
        <v>2</v>
      </c>
      <c r="F25" s="15">
        <v>1854710</v>
      </c>
      <c r="G25" s="15">
        <v>1870244</v>
      </c>
      <c r="H25" s="15">
        <v>1934917</v>
      </c>
      <c r="I25" s="15">
        <v>1994436</v>
      </c>
      <c r="J25" s="33">
        <v>2023992</v>
      </c>
      <c r="K25" s="24">
        <v>1998173</v>
      </c>
      <c r="L25" s="24">
        <v>2005059</v>
      </c>
      <c r="M25" s="24">
        <v>2062769</v>
      </c>
      <c r="N25" s="25">
        <v>2055666</v>
      </c>
      <c r="O25" s="24">
        <v>2093232</v>
      </c>
      <c r="P25" s="25">
        <v>2050655</v>
      </c>
      <c r="Q25" s="25">
        <v>2102829.38</v>
      </c>
    </row>
    <row r="26" spans="1:17">
      <c r="D26" s="2" t="s">
        <v>3</v>
      </c>
      <c r="F26" s="15">
        <v>13473</v>
      </c>
      <c r="G26" s="15">
        <v>12834</v>
      </c>
      <c r="H26" s="15">
        <v>12555</v>
      </c>
      <c r="I26" s="15">
        <v>12257</v>
      </c>
      <c r="J26" s="33">
        <v>12254</v>
      </c>
      <c r="K26" s="24">
        <v>11552</v>
      </c>
      <c r="L26" s="24">
        <v>11591</v>
      </c>
      <c r="M26" s="24">
        <v>11473</v>
      </c>
      <c r="N26" s="25">
        <v>10899</v>
      </c>
      <c r="O26" s="24">
        <v>10683</v>
      </c>
      <c r="P26" s="25">
        <v>10589</v>
      </c>
      <c r="Q26" s="25">
        <v>10982.38</v>
      </c>
    </row>
    <row r="27" spans="1:17">
      <c r="C27" s="2" t="s">
        <v>4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</row>
    <row r="28" spans="1:17" hidden="1">
      <c r="D28" s="2" t="s">
        <v>12</v>
      </c>
      <c r="F28" s="15">
        <v>0</v>
      </c>
      <c r="G28" s="15">
        <v>0</v>
      </c>
      <c r="H28" s="15"/>
      <c r="I28" s="15"/>
      <c r="K28" s="24"/>
      <c r="L28" s="24"/>
      <c r="M28" s="24"/>
      <c r="O28" s="29"/>
      <c r="P28" s="25"/>
    </row>
    <row r="29" spans="1:17" hidden="1">
      <c r="D29" s="2" t="s">
        <v>13</v>
      </c>
      <c r="F29" s="15">
        <v>0</v>
      </c>
      <c r="G29" s="15">
        <v>0</v>
      </c>
      <c r="H29" s="15"/>
      <c r="I29" s="15"/>
      <c r="K29" s="24"/>
      <c r="L29" s="24"/>
      <c r="M29" s="24"/>
      <c r="O29" s="29"/>
      <c r="P29" s="25"/>
    </row>
    <row r="30" spans="1:17" hidden="1">
      <c r="D30" s="2" t="s">
        <v>14</v>
      </c>
      <c r="F30" s="15">
        <v>0</v>
      </c>
      <c r="G30" s="15">
        <v>0</v>
      </c>
      <c r="H30" s="15"/>
      <c r="I30" s="15"/>
      <c r="K30" s="24"/>
      <c r="L30" s="24"/>
      <c r="M30" s="24"/>
      <c r="O30" s="29"/>
      <c r="P30" s="25"/>
    </row>
    <row r="31" spans="1:17" hidden="1">
      <c r="D31" s="2" t="s">
        <v>15</v>
      </c>
      <c r="F31" s="15">
        <v>0</v>
      </c>
      <c r="G31" s="15">
        <v>0</v>
      </c>
      <c r="H31" s="15"/>
      <c r="I31" s="15"/>
      <c r="K31" s="24"/>
      <c r="L31" s="24"/>
      <c r="M31" s="24"/>
      <c r="O31" s="29"/>
      <c r="P31" s="25"/>
    </row>
    <row r="32" spans="1:17" hidden="1">
      <c r="D32" s="2" t="s">
        <v>16</v>
      </c>
      <c r="F32" s="15">
        <v>0</v>
      </c>
      <c r="G32" s="15">
        <v>0</v>
      </c>
      <c r="H32" s="15"/>
      <c r="I32" s="15"/>
      <c r="K32" s="24"/>
      <c r="L32" s="24"/>
      <c r="M32" s="24"/>
      <c r="O32" s="29"/>
      <c r="P32" s="25"/>
    </row>
    <row r="33" spans="1:17" ht="11.25" customHeight="1">
      <c r="F33" s="15"/>
      <c r="G33" s="15"/>
      <c r="H33" s="15"/>
      <c r="I33" s="15"/>
      <c r="K33" s="24"/>
      <c r="L33" s="24"/>
      <c r="M33" s="24"/>
      <c r="O33" s="29"/>
      <c r="P33" s="25"/>
    </row>
    <row r="34" spans="1:17" s="1" customFormat="1">
      <c r="B34" s="1" t="s">
        <v>38</v>
      </c>
      <c r="F34" s="16">
        <v>2445370</v>
      </c>
      <c r="G34" s="16">
        <v>2427514</v>
      </c>
      <c r="H34" s="16">
        <v>2396264</v>
      </c>
      <c r="I34" s="16">
        <v>2446606</v>
      </c>
      <c r="J34" s="26">
        <v>2471782</v>
      </c>
      <c r="K34" s="27">
        <v>2435296</v>
      </c>
      <c r="L34" s="27">
        <v>2415276</v>
      </c>
      <c r="M34" s="27">
        <v>2484213</v>
      </c>
      <c r="N34" s="28">
        <v>2467749</v>
      </c>
      <c r="O34" s="27">
        <v>2474548</v>
      </c>
      <c r="P34" s="28">
        <v>2423070</v>
      </c>
      <c r="Q34" s="28">
        <v>2484525</v>
      </c>
    </row>
    <row r="35" spans="1:17">
      <c r="F35" s="15"/>
      <c r="G35" s="15"/>
      <c r="H35" s="15"/>
      <c r="I35" s="15"/>
      <c r="J35" s="34"/>
      <c r="K35" s="24"/>
      <c r="O35" s="29"/>
      <c r="P35" s="25"/>
    </row>
    <row r="36" spans="1:17" ht="18.75" customHeight="1">
      <c r="C36" s="6" t="s">
        <v>7</v>
      </c>
      <c r="D36" s="6"/>
      <c r="E36" s="6"/>
      <c r="F36" s="7">
        <v>13698494</v>
      </c>
      <c r="G36" s="7">
        <v>13752754</v>
      </c>
      <c r="H36" s="7">
        <v>13856896</v>
      </c>
      <c r="I36" s="7">
        <v>13911139</v>
      </c>
      <c r="J36" s="35">
        <v>14096542</v>
      </c>
      <c r="K36" s="36">
        <v>14147850</v>
      </c>
      <c r="L36" s="36">
        <v>14244293</v>
      </c>
      <c r="M36" s="36">
        <v>14349581</v>
      </c>
      <c r="N36" s="36">
        <v>14268670</v>
      </c>
      <c r="O36" s="36">
        <v>14480800</v>
      </c>
      <c r="P36" s="36">
        <v>14508723</v>
      </c>
      <c r="Q36" s="36">
        <v>14616266.76</v>
      </c>
    </row>
    <row r="37" spans="1:17">
      <c r="A37" s="8"/>
      <c r="B37" s="9"/>
      <c r="C37" s="9"/>
      <c r="D37" s="9"/>
    </row>
    <row r="38" spans="1:17" s="11" customFormat="1">
      <c r="A38" s="10" t="s">
        <v>8</v>
      </c>
      <c r="B38" s="10"/>
      <c r="C38" s="10"/>
      <c r="D38" s="10"/>
      <c r="E38" s="10"/>
      <c r="F38" s="10">
        <v>54.570999999999998</v>
      </c>
      <c r="G38" s="10">
        <v>55.21</v>
      </c>
      <c r="H38" s="11">
        <v>54.317999999999998</v>
      </c>
      <c r="I38" s="11">
        <v>55.497</v>
      </c>
      <c r="J38" s="11">
        <v>56.241</v>
      </c>
      <c r="K38" s="11">
        <v>55.368000000000002</v>
      </c>
      <c r="L38" s="11">
        <v>54.834000000000003</v>
      </c>
      <c r="M38" s="11">
        <v>56.651000000000003</v>
      </c>
      <c r="N38" s="11">
        <v>56.66</v>
      </c>
      <c r="O38" s="11">
        <v>56.808</v>
      </c>
      <c r="P38" s="11">
        <v>55.451000000000001</v>
      </c>
      <c r="Q38" s="11">
        <v>55.417999999999999</v>
      </c>
    </row>
    <row r="39" spans="1:17" s="11" customFormat="1">
      <c r="A39" s="10"/>
      <c r="B39" s="10"/>
      <c r="C39" s="10"/>
      <c r="D39" s="10"/>
      <c r="E39" s="10"/>
      <c r="F39" s="10"/>
    </row>
    <row r="40" spans="1:17">
      <c r="A40" s="2" t="s">
        <v>11</v>
      </c>
    </row>
    <row r="41" spans="1:17" ht="18">
      <c r="A41" s="2" t="s">
        <v>132</v>
      </c>
    </row>
    <row r="42" spans="1:17" s="11" customFormat="1">
      <c r="A42" s="10"/>
      <c r="B42" s="10"/>
      <c r="C42" s="10"/>
      <c r="D42" s="10"/>
      <c r="E42" s="10"/>
    </row>
    <row r="43" spans="1:17" s="11" customFormat="1">
      <c r="A43" s="10"/>
      <c r="B43" s="10"/>
      <c r="C43" s="10"/>
      <c r="D43" s="10"/>
      <c r="E43" s="10"/>
    </row>
    <row r="44" spans="1:17">
      <c r="A44" s="11" t="s">
        <v>22</v>
      </c>
    </row>
    <row r="45" spans="1:17">
      <c r="A45" s="179">
        <v>45533</v>
      </c>
      <c r="B45" s="179"/>
      <c r="C45" s="179"/>
      <c r="D45" s="179"/>
      <c r="E45" s="179"/>
      <c r="F45" s="179"/>
    </row>
    <row r="46" spans="1:17">
      <c r="A46" s="11"/>
    </row>
    <row r="47" spans="1:17">
      <c r="E47" s="11"/>
    </row>
    <row r="48" spans="1:17">
      <c r="A48" s="12"/>
      <c r="E48" s="11"/>
    </row>
    <row r="49" spans="1:5">
      <c r="A49" s="12"/>
      <c r="E49" s="11"/>
    </row>
    <row r="50" spans="1:5">
      <c r="A50" s="12"/>
      <c r="E50" s="11"/>
    </row>
    <row r="51" spans="1:5">
      <c r="A51" s="12"/>
      <c r="E51" s="11"/>
    </row>
    <row r="52" spans="1:5">
      <c r="A52" s="12"/>
      <c r="E52" s="11"/>
    </row>
    <row r="53" spans="1:5">
      <c r="A53" s="12"/>
      <c r="E53" s="11"/>
    </row>
    <row r="54" spans="1:5">
      <c r="A54" s="12"/>
      <c r="E54" s="11"/>
    </row>
    <row r="55" spans="1:5">
      <c r="A55" s="12"/>
      <c r="E55" s="11"/>
    </row>
    <row r="56" spans="1:5">
      <c r="A56" s="12"/>
      <c r="E56" s="11"/>
    </row>
    <row r="57" spans="1:5">
      <c r="A57" s="12"/>
      <c r="E57" s="11"/>
    </row>
    <row r="58" spans="1:5">
      <c r="A58" s="12"/>
      <c r="E58" s="11"/>
    </row>
    <row r="59" spans="1:5">
      <c r="A59" s="12"/>
      <c r="E59" s="11"/>
    </row>
    <row r="60" spans="1:5">
      <c r="A60" s="12"/>
      <c r="E60" s="11"/>
    </row>
    <row r="61" spans="1:5">
      <c r="A61" s="12"/>
      <c r="E61" s="11"/>
    </row>
  </sheetData>
  <mergeCells count="2">
    <mergeCell ref="A5:E5"/>
    <mergeCell ref="A45:F45"/>
  </mergeCells>
  <printOptions horizontalCentered="1"/>
  <pageMargins left="0.23622047244094491" right="0" top="0.74803149606299213" bottom="0" header="0" footer="0"/>
  <pageSetup paperSize="9"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1369-6349-4BF3-9A85-4E9A97599C8B}">
  <sheetPr>
    <pageSetUpPr fitToPage="1"/>
  </sheetPr>
  <dimension ref="A1:XEF103"/>
  <sheetViews>
    <sheetView topLeftCell="A61" zoomScale="118" zoomScaleNormal="118" workbookViewId="0">
      <selection activeCell="S87" sqref="S87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8.85546875" style="2" customWidth="1"/>
    <col min="6" max="6" width="7.85546875" style="2" customWidth="1"/>
    <col min="7" max="8" width="8" style="2" customWidth="1"/>
    <col min="9" max="9" width="8" style="24" customWidth="1"/>
    <col min="10" max="10" width="8.140625" style="24" customWidth="1"/>
    <col min="11" max="11" width="8.28515625" style="24" customWidth="1"/>
    <col min="12" max="12" width="8.28515625" style="2" customWidth="1"/>
    <col min="13" max="13" width="8.7109375" style="2" customWidth="1"/>
    <col min="14" max="16384" width="9.140625" style="2"/>
  </cols>
  <sheetData>
    <row r="1" spans="1:6" hidden="1">
      <c r="A1" s="19" t="s">
        <v>25</v>
      </c>
      <c r="B1" s="19"/>
      <c r="C1" s="19"/>
      <c r="D1" s="19"/>
      <c r="E1" s="19"/>
      <c r="F1" s="19"/>
    </row>
    <row r="2" spans="1:6" hidden="1">
      <c r="A2" s="180" t="s">
        <v>174</v>
      </c>
      <c r="B2" s="180"/>
      <c r="C2" s="180"/>
      <c r="D2" s="180"/>
      <c r="E2" s="180"/>
      <c r="F2" s="180"/>
    </row>
    <row r="3" spans="1:6" hidden="1">
      <c r="A3" s="181" t="s">
        <v>0</v>
      </c>
      <c r="B3" s="181"/>
      <c r="C3" s="181"/>
      <c r="D3" s="181"/>
      <c r="E3" s="181"/>
      <c r="F3" s="181"/>
    </row>
    <row r="4" spans="1:6" hidden="1">
      <c r="A4" s="4"/>
    </row>
    <row r="5" spans="1:6" hidden="1">
      <c r="A5" s="4"/>
    </row>
    <row r="6" spans="1:6" ht="16.5" hidden="1" customHeight="1">
      <c r="A6" s="182" t="s">
        <v>1</v>
      </c>
      <c r="B6" s="183"/>
      <c r="C6" s="183"/>
      <c r="D6" s="183"/>
      <c r="E6" s="183"/>
      <c r="F6" s="74" t="s">
        <v>5</v>
      </c>
    </row>
    <row r="7" spans="1:6" ht="16.5" hidden="1" customHeight="1">
      <c r="A7" s="46"/>
      <c r="B7" s="46"/>
      <c r="C7" s="46"/>
      <c r="D7" s="46"/>
      <c r="E7" s="46"/>
      <c r="F7" s="47"/>
    </row>
    <row r="8" spans="1:6" ht="14.25" hidden="1" customHeight="1">
      <c r="A8" s="1" t="s">
        <v>6</v>
      </c>
      <c r="B8" s="1"/>
      <c r="C8" s="1"/>
      <c r="D8" s="1"/>
      <c r="E8" s="1"/>
      <c r="F8" s="13">
        <f>+F10+F15</f>
        <v>3620441</v>
      </c>
    </row>
    <row r="9" spans="1:6" hidden="1">
      <c r="A9" s="1"/>
      <c r="B9" s="1"/>
      <c r="C9" s="1"/>
      <c r="D9" s="1"/>
      <c r="E9" s="1"/>
      <c r="F9" s="13"/>
    </row>
    <row r="10" spans="1:6" hidden="1">
      <c r="B10" s="2" t="s">
        <v>9</v>
      </c>
      <c r="F10" s="14">
        <f>+F11+F12+F13</f>
        <v>3619999</v>
      </c>
    </row>
    <row r="11" spans="1:6" ht="15" hidden="1" customHeight="1">
      <c r="C11" s="2" t="s">
        <v>169</v>
      </c>
      <c r="F11" s="15">
        <v>3619843</v>
      </c>
    </row>
    <row r="12" spans="1:6" hidden="1">
      <c r="C12" s="2" t="s">
        <v>2</v>
      </c>
      <c r="F12" s="15">
        <v>156</v>
      </c>
    </row>
    <row r="13" spans="1:6" hidden="1">
      <c r="C13" s="2" t="s">
        <v>3</v>
      </c>
      <c r="F13" s="15">
        <v>0</v>
      </c>
    </row>
    <row r="14" spans="1:6" ht="8.25" hidden="1" customHeight="1">
      <c r="F14" s="15"/>
    </row>
    <row r="15" spans="1:6" hidden="1">
      <c r="B15" s="2" t="s">
        <v>4</v>
      </c>
      <c r="F15" s="14">
        <f>SUM(F16:F19)</f>
        <v>442</v>
      </c>
    </row>
    <row r="16" spans="1:6" hidden="1">
      <c r="C16" s="2" t="s">
        <v>12</v>
      </c>
      <c r="F16" s="15">
        <v>0</v>
      </c>
    </row>
    <row r="17" spans="1:6" hidden="1">
      <c r="C17" s="2" t="s">
        <v>13</v>
      </c>
      <c r="F17" s="15">
        <v>442</v>
      </c>
    </row>
    <row r="18" spans="1:6" hidden="1">
      <c r="C18" s="2" t="s">
        <v>14</v>
      </c>
      <c r="F18" s="15">
        <v>0</v>
      </c>
    </row>
    <row r="19" spans="1:6" hidden="1">
      <c r="C19" s="2" t="s">
        <v>15</v>
      </c>
      <c r="F19" s="15">
        <v>0</v>
      </c>
    </row>
    <row r="20" spans="1:6" hidden="1">
      <c r="F20" s="15"/>
    </row>
    <row r="21" spans="1:6" ht="15" hidden="1" customHeight="1">
      <c r="A21" s="1" t="s">
        <v>170</v>
      </c>
      <c r="B21" s="1"/>
      <c r="C21" s="1"/>
      <c r="D21" s="1"/>
      <c r="E21" s="1"/>
      <c r="F21" s="13">
        <f>+F22+F26+F33</f>
        <v>1973306</v>
      </c>
    </row>
    <row r="22" spans="1:6" ht="15.75" hidden="1" customHeight="1">
      <c r="B22" s="2" t="s">
        <v>10</v>
      </c>
      <c r="F22" s="14">
        <f>+F23+F24</f>
        <v>719517</v>
      </c>
    </row>
    <row r="23" spans="1:6" hidden="1">
      <c r="C23" s="2" t="s">
        <v>2</v>
      </c>
      <c r="F23" s="15">
        <v>679732</v>
      </c>
    </row>
    <row r="24" spans="1:6" hidden="1">
      <c r="C24" s="2" t="s">
        <v>3</v>
      </c>
      <c r="F24" s="15">
        <v>39785</v>
      </c>
    </row>
    <row r="25" spans="1:6" ht="9" hidden="1" customHeight="1">
      <c r="F25" s="14"/>
    </row>
    <row r="26" spans="1:6" hidden="1">
      <c r="B26" s="2" t="s">
        <v>4</v>
      </c>
      <c r="F26" s="14">
        <f>SUM(F27:F31)</f>
        <v>0</v>
      </c>
    </row>
    <row r="27" spans="1:6" hidden="1">
      <c r="D27" s="2" t="s">
        <v>12</v>
      </c>
      <c r="F27" s="15">
        <v>0</v>
      </c>
    </row>
    <row r="28" spans="1:6" hidden="1">
      <c r="D28" s="2" t="s">
        <v>13</v>
      </c>
      <c r="F28" s="15">
        <v>0</v>
      </c>
    </row>
    <row r="29" spans="1:6" hidden="1">
      <c r="D29" s="2" t="s">
        <v>14</v>
      </c>
      <c r="F29" s="15">
        <v>0</v>
      </c>
    </row>
    <row r="30" spans="1:6" hidden="1">
      <c r="D30" s="2" t="s">
        <v>15</v>
      </c>
      <c r="F30" s="15">
        <v>0</v>
      </c>
    </row>
    <row r="31" spans="1:6" hidden="1">
      <c r="D31" s="2" t="s">
        <v>16</v>
      </c>
      <c r="F31" s="15">
        <v>0</v>
      </c>
    </row>
    <row r="32" spans="1:6" ht="11.25" hidden="1" customHeight="1">
      <c r="F32" s="15"/>
    </row>
    <row r="33" spans="1:163" hidden="1">
      <c r="B33" s="2" t="s">
        <v>173</v>
      </c>
      <c r="F33" s="15">
        <v>1253789</v>
      </c>
    </row>
    <row r="34" spans="1:163" hidden="1">
      <c r="FG34" s="2">
        <v>0</v>
      </c>
    </row>
    <row r="35" spans="1:163" hidden="1"/>
    <row r="36" spans="1:163" hidden="1">
      <c r="C36" s="1" t="s">
        <v>7</v>
      </c>
      <c r="D36" s="1"/>
      <c r="E36" s="1"/>
      <c r="F36" s="41">
        <f>+F8+F21+1</f>
        <v>5593748</v>
      </c>
    </row>
    <row r="37" spans="1:163" hidden="1">
      <c r="A37" s="8"/>
      <c r="B37" s="9"/>
      <c r="C37" s="9"/>
      <c r="D37" s="9"/>
    </row>
    <row r="38" spans="1:163" hidden="1">
      <c r="A38" s="2" t="s">
        <v>11</v>
      </c>
    </row>
    <row r="39" spans="1:163" hidden="1">
      <c r="A39" s="1"/>
    </row>
    <row r="40" spans="1:163" s="11" customFormat="1" hidden="1">
      <c r="A40" s="10" t="s">
        <v>8</v>
      </c>
      <c r="B40" s="10"/>
      <c r="C40" s="10"/>
      <c r="D40" s="10"/>
      <c r="E40" s="10"/>
      <c r="F40" s="71">
        <v>45.2</v>
      </c>
      <c r="I40" s="153"/>
      <c r="J40" s="153"/>
      <c r="K40" s="153"/>
    </row>
    <row r="41" spans="1:163" s="11" customFormat="1" hidden="1">
      <c r="A41" s="10"/>
      <c r="B41" s="10"/>
      <c r="C41" s="10"/>
      <c r="D41" s="10"/>
      <c r="E41" s="10"/>
      <c r="I41" s="153"/>
      <c r="J41" s="153"/>
      <c r="K41" s="153"/>
    </row>
    <row r="42" spans="1:163" s="11" customFormat="1" hidden="1">
      <c r="A42" s="10"/>
      <c r="B42" s="10"/>
      <c r="C42" s="10"/>
      <c r="D42" s="10"/>
      <c r="E42" s="10"/>
      <c r="I42" s="153"/>
      <c r="J42" s="153"/>
      <c r="K42" s="153"/>
    </row>
    <row r="43" spans="1:163" hidden="1">
      <c r="A43" s="11" t="s">
        <v>22</v>
      </c>
    </row>
    <row r="44" spans="1:163" hidden="1">
      <c r="A44" s="11"/>
    </row>
    <row r="45" spans="1:163" hidden="1">
      <c r="A45" s="48"/>
      <c r="E45" s="11"/>
    </row>
    <row r="46" spans="1:163" hidden="1">
      <c r="A46" s="12"/>
      <c r="E46" s="11"/>
    </row>
    <row r="47" spans="1:163" hidden="1">
      <c r="A47" s="12"/>
      <c r="E47" s="11"/>
    </row>
    <row r="48" spans="1:163" hidden="1">
      <c r="A48" s="12"/>
      <c r="E48" s="11"/>
    </row>
    <row r="49" spans="1:6" hidden="1">
      <c r="A49" s="12"/>
      <c r="E49" s="11"/>
    </row>
    <row r="50" spans="1:6" hidden="1">
      <c r="A50" s="12"/>
      <c r="E50" s="11"/>
    </row>
    <row r="51" spans="1:6" hidden="1">
      <c r="A51" s="12"/>
      <c r="E51" s="11"/>
    </row>
    <row r="52" spans="1:6" hidden="1">
      <c r="A52" s="12"/>
      <c r="E52" s="11"/>
    </row>
    <row r="53" spans="1:6" hidden="1">
      <c r="A53" s="12"/>
      <c r="E53" s="11"/>
    </row>
    <row r="54" spans="1:6" hidden="1">
      <c r="A54" s="12"/>
      <c r="E54" s="11"/>
    </row>
    <row r="55" spans="1:6" hidden="1">
      <c r="A55" s="12"/>
      <c r="E55" s="11"/>
    </row>
    <row r="56" spans="1:6" hidden="1">
      <c r="A56" s="12"/>
      <c r="E56" s="11"/>
    </row>
    <row r="57" spans="1:6" hidden="1">
      <c r="A57" s="12"/>
      <c r="E57" s="11"/>
    </row>
    <row r="58" spans="1:6" hidden="1">
      <c r="A58" s="12"/>
      <c r="E58" s="11"/>
    </row>
    <row r="59" spans="1:6" hidden="1">
      <c r="A59" s="12"/>
      <c r="E59" s="11"/>
    </row>
    <row r="60" spans="1:6" hidden="1">
      <c r="A60" s="12"/>
      <c r="E60" s="11"/>
    </row>
    <row r="61" spans="1:6">
      <c r="A61" s="19" t="s">
        <v>138</v>
      </c>
      <c r="B61" s="19"/>
      <c r="C61" s="19"/>
      <c r="D61" s="19"/>
      <c r="E61" s="19"/>
      <c r="F61" s="19"/>
    </row>
    <row r="62" spans="1:6">
      <c r="A62" s="19" t="str">
        <f>'[1]2023'!A2</f>
        <v>As of December 2023</v>
      </c>
      <c r="B62" s="19"/>
      <c r="C62" s="19"/>
      <c r="D62" s="19"/>
      <c r="E62" s="19"/>
      <c r="F62" s="19"/>
    </row>
    <row r="63" spans="1:6">
      <c r="A63" s="4" t="s">
        <v>0</v>
      </c>
      <c r="B63" s="4"/>
      <c r="C63" s="4"/>
      <c r="D63" s="4"/>
      <c r="E63" s="4"/>
      <c r="F63" s="4"/>
    </row>
    <row r="64" spans="1:6" ht="8.25" customHeight="1">
      <c r="A64" s="73"/>
      <c r="B64" s="73"/>
      <c r="C64" s="73"/>
      <c r="D64" s="73"/>
      <c r="E64" s="73"/>
      <c r="F64" s="73"/>
    </row>
    <row r="65" spans="1:17 16360:16360" ht="18" customHeight="1">
      <c r="A65" s="184" t="s">
        <v>1</v>
      </c>
      <c r="B65" s="184"/>
      <c r="C65" s="184"/>
      <c r="D65" s="184"/>
      <c r="E65" s="184"/>
      <c r="F65" s="161" t="s">
        <v>5</v>
      </c>
      <c r="G65" s="161" t="s">
        <v>23</v>
      </c>
      <c r="H65" s="161" t="s">
        <v>24</v>
      </c>
      <c r="I65" s="162" t="s">
        <v>26</v>
      </c>
      <c r="J65" s="162" t="s">
        <v>27</v>
      </c>
      <c r="K65" s="162" t="s">
        <v>36</v>
      </c>
      <c r="L65" s="162" t="s">
        <v>28</v>
      </c>
      <c r="M65" s="162" t="s">
        <v>29</v>
      </c>
      <c r="N65" s="162" t="s">
        <v>39</v>
      </c>
      <c r="O65" s="162" t="s">
        <v>31</v>
      </c>
      <c r="P65" s="162" t="s">
        <v>32</v>
      </c>
      <c r="Q65" s="162" t="s">
        <v>33</v>
      </c>
    </row>
    <row r="66" spans="1:17 16360:16360" ht="9" customHeight="1"/>
    <row r="67" spans="1:17 16360:16360" ht="17.25" customHeight="1">
      <c r="A67" s="6" t="s">
        <v>17</v>
      </c>
      <c r="B67" s="6"/>
      <c r="C67" s="6"/>
      <c r="D67" s="6"/>
      <c r="E67" s="6"/>
      <c r="F67" s="158">
        <f t="shared" ref="F67:Q67" si="0">+F69+F76</f>
        <v>393835</v>
      </c>
      <c r="G67" s="158">
        <f t="shared" si="0"/>
        <v>387190</v>
      </c>
      <c r="H67" s="158">
        <f t="shared" si="0"/>
        <v>384118</v>
      </c>
      <c r="I67" s="155">
        <f t="shared" si="0"/>
        <v>380694</v>
      </c>
      <c r="J67" s="155">
        <f t="shared" si="0"/>
        <v>379712</v>
      </c>
      <c r="K67" s="155">
        <f t="shared" si="0"/>
        <v>369727</v>
      </c>
      <c r="L67" s="155">
        <f t="shared" si="0"/>
        <v>363392</v>
      </c>
      <c r="M67" s="155">
        <f t="shared" si="0"/>
        <v>366570</v>
      </c>
      <c r="N67" s="155">
        <f t="shared" si="0"/>
        <v>362218</v>
      </c>
      <c r="O67" s="155">
        <f t="shared" si="0"/>
        <v>360999</v>
      </c>
      <c r="P67" s="155">
        <f t="shared" si="0"/>
        <v>353138</v>
      </c>
      <c r="Q67" s="155">
        <f t="shared" si="0"/>
        <v>349440</v>
      </c>
    </row>
    <row r="68" spans="1:17 16360:16360">
      <c r="A68" s="1"/>
      <c r="B68" s="1"/>
      <c r="C68" s="1"/>
      <c r="D68" s="1"/>
      <c r="E68" s="1"/>
      <c r="F68" s="13"/>
      <c r="G68" s="13"/>
      <c r="H68" s="13"/>
      <c r="I68" s="20"/>
      <c r="J68" s="20"/>
      <c r="K68" s="20"/>
      <c r="L68" s="20"/>
      <c r="M68" s="20"/>
      <c r="N68" s="20"/>
      <c r="O68" s="20"/>
      <c r="P68" s="20"/>
      <c r="Q68" s="20"/>
    </row>
    <row r="69" spans="1:17 16360:16360">
      <c r="A69" s="1"/>
      <c r="B69" s="1" t="s">
        <v>18</v>
      </c>
      <c r="C69" s="1"/>
      <c r="D69" s="1"/>
      <c r="E69" s="1"/>
      <c r="F69" s="13">
        <f t="shared" ref="F69:Q69" si="1">+F71+F72</f>
        <v>204654</v>
      </c>
      <c r="G69" s="13">
        <f t="shared" si="1"/>
        <v>202093</v>
      </c>
      <c r="H69" s="13">
        <f t="shared" si="1"/>
        <v>202083</v>
      </c>
      <c r="I69" s="20">
        <f t="shared" si="1"/>
        <v>196575</v>
      </c>
      <c r="J69" s="20">
        <f t="shared" si="1"/>
        <v>200734</v>
      </c>
      <c r="K69" s="20">
        <f t="shared" si="1"/>
        <v>196371</v>
      </c>
      <c r="L69" s="20">
        <f t="shared" si="1"/>
        <v>191076</v>
      </c>
      <c r="M69" s="20">
        <f t="shared" si="1"/>
        <v>193515</v>
      </c>
      <c r="N69" s="20">
        <f t="shared" si="1"/>
        <v>191893</v>
      </c>
      <c r="O69" s="20">
        <f t="shared" si="1"/>
        <v>190538</v>
      </c>
      <c r="P69" s="20">
        <f t="shared" si="1"/>
        <v>189330</v>
      </c>
      <c r="Q69" s="20">
        <f t="shared" si="1"/>
        <v>181760</v>
      </c>
    </row>
    <row r="70" spans="1:17 16360:16360" ht="4.5" customHeight="1">
      <c r="A70" s="1"/>
      <c r="B70" s="1"/>
      <c r="C70" s="1"/>
      <c r="D70" s="1"/>
      <c r="E70" s="1"/>
      <c r="F70" s="13"/>
      <c r="G70" s="13"/>
      <c r="H70" s="15"/>
    </row>
    <row r="71" spans="1:17 16360:16360">
      <c r="C71" s="2" t="s">
        <v>167</v>
      </c>
      <c r="F71" s="15">
        <v>204518</v>
      </c>
      <c r="G71" s="15">
        <v>201957</v>
      </c>
      <c r="H71" s="15">
        <v>201947</v>
      </c>
      <c r="I71" s="24">
        <v>196439</v>
      </c>
      <c r="J71" s="24">
        <v>200598</v>
      </c>
      <c r="K71" s="24">
        <v>196235</v>
      </c>
      <c r="L71" s="24">
        <v>190940</v>
      </c>
      <c r="M71" s="24">
        <v>193379</v>
      </c>
      <c r="N71" s="24">
        <v>191757</v>
      </c>
      <c r="O71" s="24">
        <v>190402</v>
      </c>
      <c r="P71" s="25">
        <v>189194</v>
      </c>
      <c r="Q71" s="2">
        <v>181624</v>
      </c>
    </row>
    <row r="72" spans="1:17 16360:16360">
      <c r="C72" s="2" t="s">
        <v>19</v>
      </c>
      <c r="F72" s="14">
        <f t="shared" ref="F72:Q72" si="2">+F73+F74</f>
        <v>136</v>
      </c>
      <c r="G72" s="14">
        <f t="shared" si="2"/>
        <v>136</v>
      </c>
      <c r="H72" s="14">
        <f t="shared" si="2"/>
        <v>136</v>
      </c>
      <c r="I72" s="22">
        <f t="shared" si="2"/>
        <v>136</v>
      </c>
      <c r="J72" s="22">
        <f t="shared" si="2"/>
        <v>136</v>
      </c>
      <c r="K72" s="22">
        <f t="shared" si="2"/>
        <v>136</v>
      </c>
      <c r="L72" s="22">
        <f t="shared" si="2"/>
        <v>136</v>
      </c>
      <c r="M72" s="22">
        <f t="shared" si="2"/>
        <v>136</v>
      </c>
      <c r="N72" s="22">
        <f t="shared" si="2"/>
        <v>136</v>
      </c>
      <c r="O72" s="22">
        <f t="shared" si="2"/>
        <v>136</v>
      </c>
      <c r="P72" s="22">
        <f t="shared" si="2"/>
        <v>136</v>
      </c>
      <c r="Q72" s="22">
        <f t="shared" si="2"/>
        <v>136</v>
      </c>
    </row>
    <row r="73" spans="1:17 16360:16360">
      <c r="D73" s="2" t="s">
        <v>20</v>
      </c>
      <c r="F73" s="15">
        <v>37</v>
      </c>
      <c r="G73" s="15">
        <v>37</v>
      </c>
      <c r="H73" s="15">
        <v>37</v>
      </c>
      <c r="I73" s="24">
        <v>37</v>
      </c>
      <c r="J73" s="24">
        <v>37</v>
      </c>
      <c r="K73" s="24">
        <v>37</v>
      </c>
      <c r="L73" s="24">
        <v>37</v>
      </c>
      <c r="M73" s="24">
        <v>37</v>
      </c>
      <c r="N73" s="24">
        <v>37</v>
      </c>
      <c r="O73" s="24">
        <v>37</v>
      </c>
      <c r="P73" s="24">
        <v>37</v>
      </c>
      <c r="Q73" s="24">
        <v>37</v>
      </c>
    </row>
    <row r="74" spans="1:17 16360:16360">
      <c r="D74" s="2" t="s">
        <v>15</v>
      </c>
      <c r="F74" s="15">
        <v>99</v>
      </c>
      <c r="G74" s="15">
        <v>99</v>
      </c>
      <c r="H74" s="15">
        <v>99</v>
      </c>
      <c r="I74" s="24">
        <v>99</v>
      </c>
      <c r="J74" s="24">
        <v>99</v>
      </c>
      <c r="K74" s="24">
        <v>99</v>
      </c>
      <c r="L74" s="24">
        <v>99</v>
      </c>
      <c r="M74" s="24">
        <v>99</v>
      </c>
      <c r="N74" s="24">
        <v>99</v>
      </c>
      <c r="O74" s="24">
        <v>99</v>
      </c>
      <c r="P74" s="24">
        <v>99</v>
      </c>
      <c r="Q74" s="24">
        <v>99</v>
      </c>
    </row>
    <row r="75" spans="1:17 16360:16360">
      <c r="F75" s="15"/>
      <c r="G75" s="15"/>
      <c r="H75" s="15"/>
      <c r="L75" s="24"/>
    </row>
    <row r="76" spans="1:17 16360:16360">
      <c r="A76" s="1"/>
      <c r="B76" s="1" t="s">
        <v>168</v>
      </c>
      <c r="C76" s="1"/>
      <c r="D76" s="1"/>
      <c r="E76" s="1"/>
      <c r="F76" s="13">
        <f t="shared" ref="F76:Q76" si="3">+F78+F79</f>
        <v>189181</v>
      </c>
      <c r="G76" s="13">
        <f t="shared" si="3"/>
        <v>185097</v>
      </c>
      <c r="H76" s="13">
        <f t="shared" si="3"/>
        <v>182035</v>
      </c>
      <c r="I76" s="20">
        <f t="shared" si="3"/>
        <v>184119</v>
      </c>
      <c r="J76" s="20">
        <f t="shared" si="3"/>
        <v>178978</v>
      </c>
      <c r="K76" s="20">
        <f t="shared" si="3"/>
        <v>173356</v>
      </c>
      <c r="L76" s="20">
        <f t="shared" si="3"/>
        <v>172316</v>
      </c>
      <c r="M76" s="20">
        <f t="shared" si="3"/>
        <v>173055</v>
      </c>
      <c r="N76" s="20">
        <f t="shared" si="3"/>
        <v>170325</v>
      </c>
      <c r="O76" s="20">
        <f t="shared" si="3"/>
        <v>170461</v>
      </c>
      <c r="P76" s="20">
        <f t="shared" si="3"/>
        <v>163808</v>
      </c>
      <c r="Q76" s="20">
        <f t="shared" si="3"/>
        <v>167680</v>
      </c>
      <c r="XEF76" s="1"/>
    </row>
    <row r="77" spans="1:17 16360:16360" ht="3.75" customHeight="1">
      <c r="A77" s="1"/>
      <c r="B77" s="1"/>
      <c r="C77" s="1"/>
      <c r="D77" s="1"/>
      <c r="E77" s="1"/>
      <c r="F77" s="13"/>
      <c r="G77" s="13"/>
      <c r="H77" s="15"/>
      <c r="L77" s="24"/>
    </row>
    <row r="78" spans="1:17 16360:16360">
      <c r="C78" s="2" t="s">
        <v>167</v>
      </c>
      <c r="F78" s="15">
        <v>184515</v>
      </c>
      <c r="G78" s="15">
        <v>180377</v>
      </c>
      <c r="H78" s="15">
        <v>177391</v>
      </c>
      <c r="I78" s="24">
        <v>179374</v>
      </c>
      <c r="J78" s="24">
        <v>174170</v>
      </c>
      <c r="K78" s="24">
        <v>168622</v>
      </c>
      <c r="L78" s="24">
        <v>167627</v>
      </c>
      <c r="M78" s="24">
        <v>168212</v>
      </c>
      <c r="N78" s="25">
        <v>165481</v>
      </c>
      <c r="O78" s="25">
        <v>165605</v>
      </c>
      <c r="P78" s="25">
        <v>159067</v>
      </c>
      <c r="Q78" s="25">
        <v>162941</v>
      </c>
    </row>
    <row r="79" spans="1:17 16360:16360">
      <c r="C79" s="2" t="s">
        <v>19</v>
      </c>
      <c r="F79" s="14">
        <f t="shared" ref="F79:Q79" si="4">SUM(F80:F83)</f>
        <v>4666</v>
      </c>
      <c r="G79" s="14">
        <f t="shared" si="4"/>
        <v>4720</v>
      </c>
      <c r="H79" s="14">
        <f t="shared" si="4"/>
        <v>4644</v>
      </c>
      <c r="I79" s="22">
        <f t="shared" si="4"/>
        <v>4745</v>
      </c>
      <c r="J79" s="22">
        <f t="shared" si="4"/>
        <v>4808</v>
      </c>
      <c r="K79" s="22">
        <f t="shared" si="4"/>
        <v>4734</v>
      </c>
      <c r="L79" s="22">
        <f t="shared" si="4"/>
        <v>4689</v>
      </c>
      <c r="M79" s="22">
        <f t="shared" si="4"/>
        <v>4843</v>
      </c>
      <c r="N79" s="22">
        <f t="shared" si="4"/>
        <v>4844</v>
      </c>
      <c r="O79" s="22">
        <f t="shared" si="4"/>
        <v>4856</v>
      </c>
      <c r="P79" s="22">
        <f t="shared" si="4"/>
        <v>4741</v>
      </c>
      <c r="Q79" s="23">
        <f t="shared" si="4"/>
        <v>4739</v>
      </c>
    </row>
    <row r="80" spans="1:17 16360:16360">
      <c r="D80" s="2" t="s">
        <v>12</v>
      </c>
      <c r="F80" s="15">
        <v>4666</v>
      </c>
      <c r="G80" s="15">
        <v>4720</v>
      </c>
      <c r="H80" s="15">
        <v>4644</v>
      </c>
      <c r="I80" s="24">
        <v>4745</v>
      </c>
      <c r="J80" s="24">
        <v>4808</v>
      </c>
      <c r="K80" s="24">
        <v>4734</v>
      </c>
      <c r="L80" s="24">
        <v>4689</v>
      </c>
      <c r="M80" s="24">
        <v>4843</v>
      </c>
      <c r="N80" s="25">
        <v>4844</v>
      </c>
      <c r="O80" s="25">
        <v>4856</v>
      </c>
      <c r="P80" s="25">
        <v>4741</v>
      </c>
      <c r="Q80" s="25">
        <v>4739</v>
      </c>
    </row>
    <row r="81" spans="1:17" hidden="1">
      <c r="D81" s="2" t="s">
        <v>13</v>
      </c>
      <c r="F81" s="15">
        <v>0</v>
      </c>
      <c r="G81" s="15">
        <v>0</v>
      </c>
      <c r="Q81" s="25"/>
    </row>
    <row r="82" spans="1:17">
      <c r="D82" s="2" t="s">
        <v>21</v>
      </c>
      <c r="F82" s="15">
        <v>0</v>
      </c>
      <c r="G82" s="15">
        <v>0</v>
      </c>
      <c r="H82" s="2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">
        <v>0</v>
      </c>
      <c r="P82" s="2">
        <v>0</v>
      </c>
      <c r="Q82" s="25">
        <v>0</v>
      </c>
    </row>
    <row r="83" spans="1:17" hidden="1">
      <c r="D83" s="2" t="s">
        <v>15</v>
      </c>
      <c r="F83" s="24">
        <v>0</v>
      </c>
    </row>
    <row r="86" spans="1:17">
      <c r="A86" s="8"/>
      <c r="B86" s="9"/>
      <c r="C86" s="9"/>
      <c r="D86" s="9"/>
    </row>
    <row r="87" spans="1:17">
      <c r="A87" s="2" t="s">
        <v>11</v>
      </c>
    </row>
    <row r="89" spans="1:17" hidden="1">
      <c r="A89" s="8"/>
      <c r="B89" s="9"/>
      <c r="C89" s="9"/>
      <c r="D89" s="9"/>
    </row>
    <row r="90" spans="1:17" hidden="1">
      <c r="A90" s="2" t="s">
        <v>11</v>
      </c>
    </row>
    <row r="91" spans="1:17" hidden="1"/>
    <row r="92" spans="1:17" hidden="1"/>
    <row r="93" spans="1:17" hidden="1"/>
    <row r="94" spans="1:17" hidden="1"/>
    <row r="95" spans="1:17" hidden="1"/>
    <row r="96" spans="1:17" hidden="1"/>
    <row r="97" spans="1:6" hidden="1"/>
    <row r="98" spans="1:6" hidden="1"/>
    <row r="99" spans="1:6" hidden="1"/>
    <row r="100" spans="1:6" hidden="1"/>
    <row r="101" spans="1:6" hidden="1"/>
    <row r="102" spans="1:6" hidden="1"/>
    <row r="103" spans="1:6">
      <c r="A103" s="185">
        <f>'[1]2023'!A46:F46</f>
        <v>45320</v>
      </c>
      <c r="B103" s="185"/>
      <c r="C103" s="185"/>
      <c r="D103" s="185"/>
      <c r="E103" s="185"/>
      <c r="F103" s="185"/>
    </row>
  </sheetData>
  <mergeCells count="5">
    <mergeCell ref="A2:F2"/>
    <mergeCell ref="A3:F3"/>
    <mergeCell ref="A6:E6"/>
    <mergeCell ref="A65:E65"/>
    <mergeCell ref="A103:F103"/>
  </mergeCells>
  <printOptions horizontalCentered="1"/>
  <pageMargins left="0.23622047244094491" right="0" top="0.74803149606299213" bottom="0" header="0" footer="0"/>
  <pageSetup paperSize="9" scale="8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2BD1-3CEC-4EA4-AA54-4DC76EAC72E3}">
  <sheetPr codeName="Sheet3">
    <pageSetUpPr fitToPage="1"/>
  </sheetPr>
  <dimension ref="A1:Q61"/>
  <sheetViews>
    <sheetView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Y33" sqref="Y33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20.7109375" style="2" customWidth="1"/>
    <col min="6" max="17" width="10.7109375" style="2" customWidth="1"/>
    <col min="18" max="16384" width="9.140625" style="2"/>
  </cols>
  <sheetData>
    <row r="1" spans="1:17">
      <c r="A1" s="19" t="s">
        <v>25</v>
      </c>
      <c r="B1" s="19"/>
      <c r="C1" s="19"/>
      <c r="D1" s="19"/>
      <c r="E1" s="19"/>
      <c r="F1" s="19"/>
    </row>
    <row r="2" spans="1:17">
      <c r="A2" s="19" t="s">
        <v>123</v>
      </c>
      <c r="B2" s="19"/>
      <c r="C2" s="19"/>
      <c r="D2" s="19"/>
      <c r="E2" s="19"/>
      <c r="F2" s="19"/>
    </row>
    <row r="3" spans="1:17">
      <c r="A3" s="4" t="s">
        <v>0</v>
      </c>
      <c r="B3" s="4"/>
      <c r="C3" s="4"/>
      <c r="D3" s="4"/>
      <c r="E3" s="4"/>
      <c r="F3" s="4"/>
    </row>
    <row r="4" spans="1:17" ht="12" customHeight="1">
      <c r="A4" s="4"/>
    </row>
    <row r="5" spans="1:17" ht="18" customHeight="1">
      <c r="A5" s="186" t="s">
        <v>1</v>
      </c>
      <c r="B5" s="187"/>
      <c r="C5" s="187"/>
      <c r="D5" s="187"/>
      <c r="E5" s="187"/>
      <c r="F5" s="163" t="s">
        <v>5</v>
      </c>
      <c r="G5" s="163" t="s">
        <v>23</v>
      </c>
      <c r="H5" s="163" t="s">
        <v>24</v>
      </c>
      <c r="I5" s="163" t="s">
        <v>26</v>
      </c>
      <c r="J5" s="163" t="s">
        <v>27</v>
      </c>
      <c r="K5" s="163" t="s">
        <v>36</v>
      </c>
      <c r="L5" s="163" t="s">
        <v>28</v>
      </c>
      <c r="M5" s="163" t="s">
        <v>29</v>
      </c>
      <c r="N5" s="163" t="s">
        <v>39</v>
      </c>
      <c r="O5" s="163" t="s">
        <v>31</v>
      </c>
      <c r="P5" s="163" t="s">
        <v>32</v>
      </c>
      <c r="Q5" s="163" t="s">
        <v>33</v>
      </c>
    </row>
    <row r="6" spans="1:17" ht="9" customHeight="1">
      <c r="A6" s="5"/>
      <c r="B6" s="5"/>
      <c r="C6" s="5"/>
      <c r="D6" s="5"/>
      <c r="E6" s="5"/>
      <c r="F6" s="5"/>
    </row>
    <row r="7" spans="1:17" ht="14.25" customHeight="1">
      <c r="A7" s="1" t="s">
        <v>6</v>
      </c>
      <c r="B7" s="1"/>
      <c r="C7" s="1"/>
      <c r="D7" s="1"/>
      <c r="E7" s="1"/>
      <c r="F7" s="13">
        <v>8367788</v>
      </c>
      <c r="G7" s="13">
        <v>8413204</v>
      </c>
      <c r="H7" s="13">
        <v>8868651</v>
      </c>
      <c r="I7" s="13">
        <v>8935854</v>
      </c>
      <c r="J7" s="13">
        <v>8665450</v>
      </c>
      <c r="K7" s="13">
        <v>8767110</v>
      </c>
      <c r="L7" s="13">
        <v>8832181</v>
      </c>
      <c r="M7" s="13">
        <v>8943389</v>
      </c>
      <c r="N7" s="13">
        <v>9300660</v>
      </c>
      <c r="O7" s="13">
        <v>9355236</v>
      </c>
      <c r="P7" s="13">
        <v>9427967</v>
      </c>
      <c r="Q7" s="13">
        <v>9208387</v>
      </c>
    </row>
    <row r="8" spans="1:17">
      <c r="A8" s="1"/>
      <c r="B8" s="1" t="s">
        <v>37</v>
      </c>
      <c r="C8" s="1"/>
      <c r="D8" s="1"/>
      <c r="E8" s="1"/>
      <c r="F8" s="13">
        <v>300156</v>
      </c>
      <c r="G8" s="13">
        <v>300156</v>
      </c>
      <c r="H8" s="13">
        <v>300156</v>
      </c>
      <c r="I8" s="13">
        <v>300156</v>
      </c>
      <c r="J8" s="13">
        <v>156</v>
      </c>
      <c r="K8" s="13">
        <v>156</v>
      </c>
      <c r="L8" s="13">
        <v>156</v>
      </c>
      <c r="M8" s="13">
        <v>156</v>
      </c>
      <c r="N8" s="13">
        <v>156</v>
      </c>
      <c r="O8" s="13">
        <v>156</v>
      </c>
      <c r="P8" s="13">
        <v>156</v>
      </c>
      <c r="Q8" s="13">
        <v>156</v>
      </c>
    </row>
    <row r="9" spans="1:17">
      <c r="C9" s="2" t="s">
        <v>10</v>
      </c>
      <c r="F9" s="14">
        <v>300156</v>
      </c>
      <c r="G9" s="14">
        <v>300156</v>
      </c>
      <c r="H9" s="14">
        <v>300156</v>
      </c>
      <c r="I9" s="14">
        <v>300156</v>
      </c>
      <c r="J9" s="14">
        <v>156</v>
      </c>
      <c r="K9" s="14">
        <v>156</v>
      </c>
      <c r="L9" s="14">
        <v>156</v>
      </c>
      <c r="M9" s="14">
        <v>156</v>
      </c>
      <c r="N9" s="14">
        <v>156</v>
      </c>
      <c r="O9" s="14">
        <v>156</v>
      </c>
      <c r="P9" s="14">
        <v>156</v>
      </c>
      <c r="Q9" s="14">
        <v>156</v>
      </c>
    </row>
    <row r="10" spans="1:17">
      <c r="D10" s="2" t="s">
        <v>2</v>
      </c>
      <c r="F10" s="15">
        <v>300156</v>
      </c>
      <c r="G10" s="15">
        <v>300156</v>
      </c>
      <c r="H10" s="15">
        <v>300156</v>
      </c>
      <c r="I10" s="15">
        <v>300156</v>
      </c>
      <c r="J10" s="15">
        <v>156</v>
      </c>
      <c r="K10" s="15">
        <v>156</v>
      </c>
      <c r="L10" s="15">
        <v>156</v>
      </c>
      <c r="M10" s="15">
        <v>156</v>
      </c>
      <c r="N10" s="15">
        <v>156</v>
      </c>
      <c r="O10" s="15">
        <v>156</v>
      </c>
      <c r="P10" s="15">
        <v>156</v>
      </c>
      <c r="Q10" s="15">
        <v>156</v>
      </c>
    </row>
    <row r="11" spans="1:17">
      <c r="E11" s="2" t="s">
        <v>48</v>
      </c>
      <c r="F11" s="15">
        <v>156</v>
      </c>
      <c r="G11" s="15">
        <v>156</v>
      </c>
      <c r="H11" s="15">
        <v>156</v>
      </c>
      <c r="I11" s="15">
        <v>156</v>
      </c>
      <c r="J11" s="15">
        <v>156</v>
      </c>
      <c r="K11" s="15">
        <v>156</v>
      </c>
      <c r="L11" s="15">
        <v>156</v>
      </c>
      <c r="M11" s="15">
        <v>156</v>
      </c>
      <c r="N11" s="15">
        <v>156</v>
      </c>
      <c r="O11" s="15">
        <v>156</v>
      </c>
      <c r="P11" s="15">
        <v>156</v>
      </c>
      <c r="Q11" s="15">
        <v>156</v>
      </c>
    </row>
    <row r="12" spans="1:17" ht="18">
      <c r="E12" s="2" t="s">
        <v>126</v>
      </c>
      <c r="F12" s="15">
        <v>300000</v>
      </c>
      <c r="G12" s="15">
        <v>300000</v>
      </c>
      <c r="H12" s="15">
        <v>300000</v>
      </c>
      <c r="I12" s="15">
        <v>300000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</row>
    <row r="13" spans="1:17">
      <c r="D13" s="2" t="s">
        <v>3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</row>
    <row r="14" spans="1:17">
      <c r="C14" s="2" t="s">
        <v>4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</row>
    <row r="15" spans="1:17" hidden="1">
      <c r="D15" s="2" t="s">
        <v>12</v>
      </c>
      <c r="F15" s="15">
        <v>0</v>
      </c>
      <c r="G15" s="15">
        <v>0</v>
      </c>
      <c r="H15" s="15">
        <v>0</v>
      </c>
      <c r="J15" s="15"/>
      <c r="L15" s="15"/>
      <c r="M15" s="15"/>
      <c r="N15" s="15"/>
      <c r="O15" s="15"/>
      <c r="P15" s="15"/>
    </row>
    <row r="16" spans="1:17" hidden="1">
      <c r="D16" s="2" t="s">
        <v>13</v>
      </c>
      <c r="F16" s="15">
        <v>0</v>
      </c>
      <c r="G16" s="15">
        <v>0</v>
      </c>
      <c r="H16" s="15">
        <v>0</v>
      </c>
      <c r="J16" s="15"/>
      <c r="L16" s="15"/>
      <c r="M16" s="15"/>
      <c r="N16" s="15"/>
      <c r="O16" s="15"/>
      <c r="P16" s="15"/>
    </row>
    <row r="17" spans="1:17" hidden="1">
      <c r="D17" s="2" t="s">
        <v>14</v>
      </c>
      <c r="F17" s="15">
        <v>0</v>
      </c>
      <c r="G17" s="15">
        <v>0</v>
      </c>
      <c r="H17" s="15">
        <v>0</v>
      </c>
      <c r="J17" s="15"/>
      <c r="L17" s="15"/>
      <c r="M17" s="15"/>
      <c r="N17" s="15"/>
      <c r="O17" s="15"/>
      <c r="P17" s="15"/>
    </row>
    <row r="18" spans="1:17" hidden="1">
      <c r="D18" s="2" t="s">
        <v>15</v>
      </c>
      <c r="F18" s="15">
        <v>0</v>
      </c>
      <c r="G18" s="15">
        <v>0</v>
      </c>
      <c r="H18" s="15">
        <v>0</v>
      </c>
      <c r="J18" s="15"/>
      <c r="L18" s="15"/>
      <c r="M18" s="15"/>
      <c r="N18" s="15"/>
      <c r="O18" s="15"/>
      <c r="P18" s="15"/>
    </row>
    <row r="19" spans="1:17" ht="8.25" customHeight="1">
      <c r="F19" s="15"/>
      <c r="G19" s="15"/>
      <c r="H19" s="15"/>
      <c r="J19" s="15"/>
      <c r="L19" s="15"/>
      <c r="M19" s="15"/>
      <c r="N19" s="15"/>
      <c r="O19" s="15"/>
      <c r="P19" s="15"/>
    </row>
    <row r="20" spans="1:17" s="1" customFormat="1" ht="15" customHeight="1">
      <c r="B20" s="1" t="s">
        <v>38</v>
      </c>
      <c r="F20" s="16">
        <v>8067632</v>
      </c>
      <c r="G20" s="16">
        <v>8113048</v>
      </c>
      <c r="H20" s="16">
        <v>8568495</v>
      </c>
      <c r="I20" s="16">
        <v>8635698</v>
      </c>
      <c r="J20" s="16">
        <v>8665294</v>
      </c>
      <c r="K20" s="16">
        <v>8766954</v>
      </c>
      <c r="L20" s="16">
        <v>8832025</v>
      </c>
      <c r="M20" s="16">
        <v>8943233</v>
      </c>
      <c r="N20" s="16">
        <v>9300504</v>
      </c>
      <c r="O20" s="16">
        <v>9355080</v>
      </c>
      <c r="P20" s="16">
        <v>9427811</v>
      </c>
      <c r="Q20" s="16">
        <v>9208231</v>
      </c>
    </row>
    <row r="21" spans="1:17">
      <c r="F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>
      <c r="A22" s="1" t="s">
        <v>41</v>
      </c>
      <c r="B22" s="1"/>
      <c r="C22" s="1"/>
      <c r="D22" s="1"/>
      <c r="E22" s="1"/>
      <c r="F22" s="13">
        <v>3661884</v>
      </c>
      <c r="G22" s="13">
        <v>3680296</v>
      </c>
      <c r="H22" s="13">
        <v>3811134</v>
      </c>
      <c r="I22" s="13">
        <v>3827333</v>
      </c>
      <c r="J22" s="13">
        <v>3830322</v>
      </c>
      <c r="K22" s="13">
        <v>4024719</v>
      </c>
      <c r="L22" s="13">
        <v>4055737</v>
      </c>
      <c r="M22" s="13">
        <v>4078165</v>
      </c>
      <c r="N22" s="13">
        <v>4216440</v>
      </c>
      <c r="O22" s="13">
        <v>4285783</v>
      </c>
      <c r="P22" s="13">
        <v>4216197</v>
      </c>
      <c r="Q22" s="13">
        <v>4210473</v>
      </c>
    </row>
    <row r="23" spans="1:17">
      <c r="A23" s="1"/>
      <c r="B23" s="1" t="s">
        <v>37</v>
      </c>
      <c r="C23" s="1"/>
      <c r="D23" s="1"/>
      <c r="E23" s="1"/>
      <c r="F23" s="13">
        <v>1673954</v>
      </c>
      <c r="G23" s="13">
        <v>1684137</v>
      </c>
      <c r="H23" s="13">
        <v>1686930</v>
      </c>
      <c r="I23" s="13">
        <v>1675248</v>
      </c>
      <c r="J23" s="13">
        <v>1690029</v>
      </c>
      <c r="K23" s="13">
        <v>1795604</v>
      </c>
      <c r="L23" s="13">
        <v>1816698</v>
      </c>
      <c r="M23" s="13">
        <v>1826918</v>
      </c>
      <c r="N23" s="13">
        <v>1890917</v>
      </c>
      <c r="O23" s="13">
        <v>1867412</v>
      </c>
      <c r="P23" s="13">
        <v>1868100</v>
      </c>
      <c r="Q23" s="13">
        <v>1883023</v>
      </c>
    </row>
    <row r="24" spans="1:17" ht="15.75" customHeight="1">
      <c r="C24" s="2" t="s">
        <v>10</v>
      </c>
      <c r="F24" s="17">
        <v>1673954</v>
      </c>
      <c r="G24" s="17">
        <v>1684137</v>
      </c>
      <c r="H24" s="17">
        <v>1686930</v>
      </c>
      <c r="I24" s="17">
        <v>1675248</v>
      </c>
      <c r="J24" s="17">
        <v>1690029</v>
      </c>
      <c r="K24" s="17">
        <v>1795604</v>
      </c>
      <c r="L24" s="17">
        <v>1816698</v>
      </c>
      <c r="M24" s="17">
        <v>1826918</v>
      </c>
      <c r="N24" s="17">
        <v>1890917</v>
      </c>
      <c r="O24" s="17">
        <v>1867412</v>
      </c>
      <c r="P24" s="17">
        <v>1868100</v>
      </c>
      <c r="Q24" s="17">
        <v>1883023</v>
      </c>
    </row>
    <row r="25" spans="1:17">
      <c r="D25" s="2" t="s">
        <v>2</v>
      </c>
      <c r="F25" s="15">
        <v>1657745</v>
      </c>
      <c r="G25" s="15">
        <v>1668100</v>
      </c>
      <c r="H25" s="15">
        <v>1671980</v>
      </c>
      <c r="I25" s="15">
        <v>1661314</v>
      </c>
      <c r="J25" s="15">
        <v>1675941</v>
      </c>
      <c r="K25" s="15">
        <v>1781701</v>
      </c>
      <c r="L25" s="15">
        <v>1802465</v>
      </c>
      <c r="M25" s="15">
        <v>1813260</v>
      </c>
      <c r="N25" s="15">
        <v>1877554</v>
      </c>
      <c r="O25" s="15">
        <v>1854675</v>
      </c>
      <c r="P25" s="15">
        <v>1854770</v>
      </c>
      <c r="Q25" s="15">
        <v>1869315</v>
      </c>
    </row>
    <row r="26" spans="1:17">
      <c r="D26" s="2" t="s">
        <v>3</v>
      </c>
      <c r="F26" s="15">
        <v>16209</v>
      </c>
      <c r="G26" s="15">
        <v>16037</v>
      </c>
      <c r="H26" s="15">
        <v>14950</v>
      </c>
      <c r="I26" s="15">
        <v>13934</v>
      </c>
      <c r="J26" s="15">
        <v>14088</v>
      </c>
      <c r="K26" s="15">
        <v>13903</v>
      </c>
      <c r="L26" s="15">
        <v>14233</v>
      </c>
      <c r="M26" s="15">
        <v>13658</v>
      </c>
      <c r="N26" s="15">
        <v>13363</v>
      </c>
      <c r="O26" s="15">
        <v>12737</v>
      </c>
      <c r="P26" s="15">
        <v>13330</v>
      </c>
      <c r="Q26" s="15">
        <v>13708</v>
      </c>
    </row>
    <row r="27" spans="1:17">
      <c r="C27" s="2" t="s">
        <v>4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</row>
    <row r="28" spans="1:17" hidden="1">
      <c r="D28" s="2" t="s">
        <v>12</v>
      </c>
      <c r="F28" s="15">
        <v>0</v>
      </c>
      <c r="G28" s="15">
        <v>0</v>
      </c>
      <c r="H28" s="15"/>
      <c r="I28" s="15"/>
      <c r="J28" s="15"/>
      <c r="K28" s="15"/>
      <c r="L28" s="15"/>
      <c r="M28" s="15"/>
      <c r="O28" s="15"/>
      <c r="P28" s="15"/>
      <c r="Q28" s="15"/>
    </row>
    <row r="29" spans="1:17" hidden="1">
      <c r="D29" s="2" t="s">
        <v>13</v>
      </c>
      <c r="F29" s="15">
        <v>0</v>
      </c>
      <c r="G29" s="15">
        <v>0</v>
      </c>
      <c r="H29" s="15"/>
      <c r="I29" s="15"/>
      <c r="J29" s="15"/>
      <c r="K29" s="15"/>
      <c r="L29" s="15"/>
      <c r="M29" s="15"/>
      <c r="O29" s="15"/>
      <c r="P29" s="15"/>
      <c r="Q29" s="15"/>
    </row>
    <row r="30" spans="1:17" hidden="1">
      <c r="D30" s="2" t="s">
        <v>14</v>
      </c>
      <c r="F30" s="15">
        <v>0</v>
      </c>
      <c r="G30" s="15">
        <v>0</v>
      </c>
      <c r="H30" s="15"/>
      <c r="I30" s="15"/>
      <c r="J30" s="15"/>
      <c r="K30" s="15"/>
      <c r="L30" s="15"/>
      <c r="M30" s="15"/>
      <c r="O30" s="15"/>
      <c r="P30" s="15"/>
      <c r="Q30" s="15"/>
    </row>
    <row r="31" spans="1:17" hidden="1">
      <c r="D31" s="2" t="s">
        <v>15</v>
      </c>
      <c r="F31" s="15">
        <v>0</v>
      </c>
      <c r="G31" s="15">
        <v>0</v>
      </c>
      <c r="H31" s="15"/>
      <c r="I31" s="15"/>
      <c r="J31" s="15"/>
      <c r="K31" s="15"/>
      <c r="L31" s="15"/>
      <c r="M31" s="15"/>
      <c r="O31" s="15"/>
      <c r="P31" s="15"/>
      <c r="Q31" s="15"/>
    </row>
    <row r="32" spans="1:17" hidden="1">
      <c r="D32" s="2" t="s">
        <v>16</v>
      </c>
      <c r="F32" s="15">
        <v>0</v>
      </c>
      <c r="G32" s="15">
        <v>0</v>
      </c>
      <c r="H32" s="15"/>
      <c r="I32" s="15"/>
      <c r="J32" s="15"/>
      <c r="K32" s="15"/>
      <c r="L32" s="15"/>
      <c r="M32" s="15"/>
      <c r="O32" s="15"/>
      <c r="P32" s="15"/>
      <c r="Q32" s="15"/>
    </row>
    <row r="33" spans="1:17" ht="11.25" customHeight="1">
      <c r="F33" s="15"/>
      <c r="G33" s="15"/>
      <c r="H33" s="15"/>
      <c r="I33" s="15"/>
      <c r="J33" s="15"/>
      <c r="K33" s="15"/>
      <c r="L33" s="15"/>
      <c r="M33" s="15"/>
      <c r="O33" s="15"/>
      <c r="P33" s="15"/>
      <c r="Q33" s="15"/>
    </row>
    <row r="34" spans="1:17" s="1" customFormat="1">
      <c r="B34" s="1" t="s">
        <v>38</v>
      </c>
      <c r="F34" s="16">
        <v>1987930</v>
      </c>
      <c r="G34" s="16">
        <v>1996159</v>
      </c>
      <c r="H34" s="16">
        <v>2124204</v>
      </c>
      <c r="I34" s="16">
        <v>2152085</v>
      </c>
      <c r="J34" s="16">
        <v>2140293</v>
      </c>
      <c r="K34" s="16">
        <v>2229115</v>
      </c>
      <c r="L34" s="16">
        <v>2239039</v>
      </c>
      <c r="M34" s="16">
        <v>2251247</v>
      </c>
      <c r="N34" s="16">
        <v>2325523</v>
      </c>
      <c r="O34" s="16">
        <v>2418371</v>
      </c>
      <c r="P34" s="16">
        <v>2348097</v>
      </c>
      <c r="Q34" s="16">
        <v>2327450</v>
      </c>
    </row>
    <row r="35" spans="1:17"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ht="18.75" customHeight="1">
      <c r="C36" s="6" t="s">
        <v>7</v>
      </c>
      <c r="D36" s="6"/>
      <c r="E36" s="6"/>
      <c r="F36" s="7">
        <v>12029672</v>
      </c>
      <c r="G36" s="7">
        <v>12093500</v>
      </c>
      <c r="H36" s="7">
        <v>12679785</v>
      </c>
      <c r="I36" s="7">
        <v>12763187</v>
      </c>
      <c r="J36" s="7">
        <v>12495772</v>
      </c>
      <c r="K36" s="7">
        <v>12791829</v>
      </c>
      <c r="L36" s="7">
        <v>12887918</v>
      </c>
      <c r="M36" s="7">
        <v>13021554</v>
      </c>
      <c r="N36" s="7">
        <v>13517100</v>
      </c>
      <c r="O36" s="7">
        <v>13641019</v>
      </c>
      <c r="P36" s="7">
        <v>13644164</v>
      </c>
      <c r="Q36" s="7">
        <v>13418860</v>
      </c>
    </row>
    <row r="37" spans="1:17">
      <c r="A37" s="8"/>
      <c r="B37" s="9"/>
      <c r="C37" s="9"/>
      <c r="D37" s="9"/>
    </row>
    <row r="38" spans="1:17" s="11" customFormat="1">
      <c r="A38" s="10" t="s">
        <v>8</v>
      </c>
      <c r="B38" s="10"/>
      <c r="C38" s="10"/>
      <c r="D38" s="10"/>
      <c r="E38" s="10"/>
      <c r="F38" s="10">
        <v>51.134999999999998</v>
      </c>
      <c r="G38" s="10">
        <v>51.384999999999998</v>
      </c>
      <c r="H38" s="11">
        <v>51.905999999999999</v>
      </c>
      <c r="I38" s="11">
        <v>52.335000000000001</v>
      </c>
      <c r="J38" s="11">
        <v>52.411999999999999</v>
      </c>
      <c r="K38" s="11">
        <v>54.97</v>
      </c>
      <c r="L38" s="11">
        <v>55.322000000000003</v>
      </c>
      <c r="M38" s="11">
        <v>56.170999999999999</v>
      </c>
      <c r="N38" s="11">
        <v>58.646000000000001</v>
      </c>
      <c r="O38" s="11">
        <v>58.046999999999997</v>
      </c>
      <c r="P38" s="11">
        <v>56.597999999999999</v>
      </c>
      <c r="Q38" s="11">
        <v>55.814999999999998</v>
      </c>
    </row>
    <row r="39" spans="1:17" s="11" customFormat="1">
      <c r="A39" s="10"/>
      <c r="B39" s="10"/>
      <c r="C39" s="10"/>
      <c r="D39" s="10"/>
      <c r="E39" s="10"/>
      <c r="F39" s="10"/>
    </row>
    <row r="40" spans="1:17">
      <c r="A40" s="2" t="s">
        <v>11</v>
      </c>
    </row>
    <row r="41" spans="1:17" ht="18">
      <c r="A41" s="2" t="s">
        <v>132</v>
      </c>
    </row>
    <row r="42" spans="1:17" s="11" customFormat="1">
      <c r="A42" s="10"/>
      <c r="B42" s="10"/>
      <c r="C42" s="10"/>
      <c r="D42" s="10"/>
      <c r="E42" s="10"/>
    </row>
    <row r="43" spans="1:17" s="11" customFormat="1">
      <c r="A43" s="10"/>
      <c r="B43" s="10"/>
      <c r="C43" s="10"/>
      <c r="D43" s="10"/>
      <c r="E43" s="10"/>
    </row>
    <row r="44" spans="1:17">
      <c r="A44" s="11" t="s">
        <v>22</v>
      </c>
    </row>
    <row r="45" spans="1:17">
      <c r="A45" s="11"/>
    </row>
    <row r="46" spans="1:17">
      <c r="A46" s="185">
        <v>44950</v>
      </c>
      <c r="B46" s="185"/>
      <c r="C46" s="185"/>
      <c r="D46" s="185"/>
      <c r="E46" s="185"/>
      <c r="F46" s="185"/>
    </row>
    <row r="47" spans="1:17">
      <c r="E47" s="11"/>
    </row>
    <row r="48" spans="1:17">
      <c r="A48" s="12"/>
      <c r="E48" s="11"/>
    </row>
    <row r="49" spans="1:5">
      <c r="A49" s="12"/>
      <c r="E49" s="11"/>
    </row>
    <row r="50" spans="1:5">
      <c r="A50" s="12"/>
      <c r="E50" s="11"/>
    </row>
    <row r="51" spans="1:5">
      <c r="A51" s="12"/>
      <c r="E51" s="11"/>
    </row>
    <row r="52" spans="1:5">
      <c r="A52" s="12"/>
      <c r="E52" s="11"/>
    </row>
    <row r="53" spans="1:5">
      <c r="A53" s="12"/>
      <c r="E53" s="11"/>
    </row>
    <row r="54" spans="1:5">
      <c r="A54" s="12"/>
      <c r="E54" s="11"/>
    </row>
    <row r="55" spans="1:5">
      <c r="A55" s="12"/>
      <c r="E55" s="11"/>
    </row>
    <row r="56" spans="1:5">
      <c r="A56" s="12"/>
      <c r="E56" s="11"/>
    </row>
    <row r="57" spans="1:5">
      <c r="A57" s="12"/>
      <c r="E57" s="11"/>
    </row>
    <row r="58" spans="1:5">
      <c r="A58" s="12"/>
      <c r="E58" s="11"/>
    </row>
    <row r="59" spans="1:5">
      <c r="A59" s="12"/>
      <c r="E59" s="11"/>
    </row>
    <row r="60" spans="1:5">
      <c r="A60" s="12"/>
      <c r="E60" s="11"/>
    </row>
    <row r="61" spans="1:5">
      <c r="A61" s="12"/>
      <c r="E61" s="11"/>
    </row>
  </sheetData>
  <mergeCells count="2">
    <mergeCell ref="A5:E5"/>
    <mergeCell ref="A46:F46"/>
  </mergeCells>
  <printOptions horizontalCentered="1"/>
  <pageMargins left="0.23622047244094491" right="0" top="0.74803149606299213" bottom="0" header="0" footer="0"/>
  <pageSetup paperSize="9" scale="6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EEB9-3A03-4EA0-93BD-19E8D478DC16}">
  <sheetPr>
    <pageSetUpPr fitToPage="1"/>
  </sheetPr>
  <dimension ref="A1:XEQ27"/>
  <sheetViews>
    <sheetView zoomScaleNormal="100" workbookViewId="0">
      <pane xSplit="5" ySplit="7" topLeftCell="F8" activePane="bottomRight" state="frozen"/>
      <selection activeCell="M88" sqref="M88"/>
      <selection pane="topRight" activeCell="M88" sqref="M88"/>
      <selection pane="bottomLeft" activeCell="M88" sqref="M88"/>
      <selection pane="bottomRight" activeCell="A5" sqref="A5:Q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8.85546875" style="2" customWidth="1"/>
    <col min="6" max="17" width="11.140625" style="2" customWidth="1"/>
    <col min="18" max="16384" width="9.140625" style="2"/>
  </cols>
  <sheetData>
    <row r="1" spans="1:17 16371:16371">
      <c r="A1" s="19" t="s">
        <v>138</v>
      </c>
      <c r="B1" s="19"/>
      <c r="C1" s="19"/>
      <c r="D1" s="19"/>
      <c r="E1" s="19"/>
      <c r="F1" s="19"/>
    </row>
    <row r="2" spans="1:17 16371:16371">
      <c r="A2" s="19" t="str">
        <f>'[2]2022'!A2</f>
        <v>As of December 2022</v>
      </c>
      <c r="B2" s="19"/>
      <c r="C2" s="19"/>
      <c r="D2" s="19"/>
      <c r="E2" s="19"/>
      <c r="F2" s="19"/>
    </row>
    <row r="3" spans="1:17 16371:16371">
      <c r="A3" s="4" t="s">
        <v>0</v>
      </c>
      <c r="B3" s="4"/>
      <c r="C3" s="4"/>
      <c r="D3" s="4"/>
      <c r="E3" s="4"/>
      <c r="F3" s="4"/>
    </row>
    <row r="4" spans="1:17 16371:16371" ht="8.25" customHeight="1">
      <c r="A4" s="73"/>
      <c r="B4" s="73"/>
      <c r="C4" s="73"/>
      <c r="D4" s="73"/>
      <c r="E4" s="73"/>
      <c r="F4" s="73"/>
    </row>
    <row r="5" spans="1:17 16371:16371" ht="19.5" customHeight="1">
      <c r="A5" s="184" t="s">
        <v>1</v>
      </c>
      <c r="B5" s="184"/>
      <c r="C5" s="184"/>
      <c r="D5" s="184"/>
      <c r="E5" s="184"/>
      <c r="F5" s="161" t="s">
        <v>5</v>
      </c>
      <c r="G5" s="161" t="s">
        <v>23</v>
      </c>
      <c r="H5" s="161" t="s">
        <v>24</v>
      </c>
      <c r="I5" s="161" t="s">
        <v>26</v>
      </c>
      <c r="J5" s="161" t="s">
        <v>27</v>
      </c>
      <c r="K5" s="161" t="s">
        <v>36</v>
      </c>
      <c r="L5" s="161" t="s">
        <v>28</v>
      </c>
      <c r="M5" s="161" t="s">
        <v>29</v>
      </c>
      <c r="N5" s="161" t="s">
        <v>39</v>
      </c>
      <c r="O5" s="161" t="s">
        <v>31</v>
      </c>
      <c r="P5" s="161" t="s">
        <v>32</v>
      </c>
      <c r="Q5" s="161" t="s">
        <v>33</v>
      </c>
    </row>
    <row r="6" spans="1:17 16371:16371" ht="9" customHeight="1"/>
    <row r="7" spans="1:17 16371:16371" ht="17.25" customHeight="1">
      <c r="A7" s="6" t="s">
        <v>17</v>
      </c>
      <c r="B7" s="6"/>
      <c r="C7" s="6"/>
      <c r="D7" s="6"/>
      <c r="E7" s="6"/>
      <c r="F7" s="158">
        <f t="shared" ref="F7:Q7" si="0">+F9+F16</f>
        <v>422516</v>
      </c>
      <c r="G7" s="158">
        <f t="shared" si="0"/>
        <v>416204</v>
      </c>
      <c r="H7" s="158">
        <f t="shared" si="0"/>
        <v>411044</v>
      </c>
      <c r="I7" s="158">
        <f t="shared" si="0"/>
        <v>413428</v>
      </c>
      <c r="J7" s="158">
        <f t="shared" si="0"/>
        <v>399716</v>
      </c>
      <c r="K7" s="158">
        <f t="shared" si="0"/>
        <v>413927</v>
      </c>
      <c r="L7" s="158">
        <f t="shared" si="0"/>
        <v>407999</v>
      </c>
      <c r="M7" s="158">
        <f t="shared" si="0"/>
        <v>392759</v>
      </c>
      <c r="N7" s="158">
        <f t="shared" si="0"/>
        <v>397220</v>
      </c>
      <c r="O7" s="158">
        <f t="shared" si="0"/>
        <v>386534</v>
      </c>
      <c r="P7" s="158">
        <f t="shared" si="0"/>
        <v>388000</v>
      </c>
      <c r="Q7" s="158">
        <f t="shared" si="0"/>
        <v>399046</v>
      </c>
    </row>
    <row r="8" spans="1:17 16371:16371">
      <c r="A8" s="1"/>
      <c r="B8" s="1"/>
      <c r="C8" s="1"/>
      <c r="D8" s="1"/>
      <c r="E8" s="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 16371:16371">
      <c r="A9" s="1"/>
      <c r="B9" s="1" t="s">
        <v>18</v>
      </c>
      <c r="C9" s="1"/>
      <c r="D9" s="1"/>
      <c r="E9" s="1"/>
      <c r="F9" s="13">
        <f t="shared" ref="F9:Q9" si="1">+F11+F12</f>
        <v>192957</v>
      </c>
      <c r="G9" s="13">
        <f t="shared" si="1"/>
        <v>188890</v>
      </c>
      <c r="H9" s="13">
        <f t="shared" si="1"/>
        <v>188135</v>
      </c>
      <c r="I9" s="13">
        <f t="shared" si="1"/>
        <v>194292</v>
      </c>
      <c r="J9" s="13">
        <f t="shared" si="1"/>
        <v>185885</v>
      </c>
      <c r="K9" s="13">
        <f t="shared" si="1"/>
        <v>195224</v>
      </c>
      <c r="L9" s="13">
        <f t="shared" si="1"/>
        <v>186657</v>
      </c>
      <c r="M9" s="13">
        <f t="shared" si="1"/>
        <v>182231</v>
      </c>
      <c r="N9" s="13">
        <f t="shared" si="1"/>
        <v>182218</v>
      </c>
      <c r="O9" s="13">
        <f t="shared" si="1"/>
        <v>174920</v>
      </c>
      <c r="P9" s="13">
        <f t="shared" si="1"/>
        <v>179579</v>
      </c>
      <c r="Q9" s="13">
        <f t="shared" si="1"/>
        <v>205765</v>
      </c>
    </row>
    <row r="10" spans="1:17 16371:16371" ht="4.5" customHeight="1">
      <c r="A10" s="1"/>
      <c r="B10" s="1"/>
      <c r="C10" s="1"/>
      <c r="D10" s="1"/>
      <c r="E10" s="1"/>
      <c r="F10" s="13"/>
      <c r="G10" s="13"/>
      <c r="H10" s="15"/>
      <c r="I10" s="15"/>
      <c r="J10" s="15"/>
      <c r="K10" s="15"/>
      <c r="L10" s="15"/>
      <c r="P10" s="15"/>
      <c r="Q10" s="15"/>
    </row>
    <row r="11" spans="1:17 16371:16371">
      <c r="C11" s="2" t="s">
        <v>167</v>
      </c>
      <c r="F11" s="15">
        <v>192821</v>
      </c>
      <c r="G11" s="15">
        <v>188754</v>
      </c>
      <c r="H11" s="15">
        <v>187999</v>
      </c>
      <c r="I11" s="15">
        <v>194156</v>
      </c>
      <c r="J11" s="15">
        <v>185749</v>
      </c>
      <c r="K11" s="15">
        <v>195088</v>
      </c>
      <c r="L11" s="15">
        <v>186521</v>
      </c>
      <c r="M11" s="15">
        <v>182095</v>
      </c>
      <c r="N11" s="15">
        <v>182082</v>
      </c>
      <c r="O11" s="15">
        <v>174784</v>
      </c>
      <c r="P11" s="15">
        <v>179443</v>
      </c>
      <c r="Q11" s="15">
        <v>205629</v>
      </c>
    </row>
    <row r="12" spans="1:17 16371:16371">
      <c r="C12" s="2" t="s">
        <v>19</v>
      </c>
      <c r="F12" s="14">
        <f t="shared" ref="F12:Q12" si="2">+F13+F14</f>
        <v>136</v>
      </c>
      <c r="G12" s="14">
        <f t="shared" si="2"/>
        <v>136</v>
      </c>
      <c r="H12" s="14">
        <f t="shared" si="2"/>
        <v>136</v>
      </c>
      <c r="I12" s="14">
        <f t="shared" si="2"/>
        <v>136</v>
      </c>
      <c r="J12" s="14">
        <f t="shared" si="2"/>
        <v>136</v>
      </c>
      <c r="K12" s="14">
        <f t="shared" si="2"/>
        <v>136</v>
      </c>
      <c r="L12" s="14">
        <f t="shared" si="2"/>
        <v>136</v>
      </c>
      <c r="M12" s="14">
        <f t="shared" si="2"/>
        <v>136</v>
      </c>
      <c r="N12" s="14">
        <f t="shared" si="2"/>
        <v>136</v>
      </c>
      <c r="O12" s="14">
        <f t="shared" si="2"/>
        <v>136</v>
      </c>
      <c r="P12" s="14">
        <f t="shared" si="2"/>
        <v>136</v>
      </c>
      <c r="Q12" s="14">
        <f t="shared" si="2"/>
        <v>136</v>
      </c>
    </row>
    <row r="13" spans="1:17 16371:16371">
      <c r="D13" s="2" t="s">
        <v>20</v>
      </c>
      <c r="F13" s="15">
        <v>37</v>
      </c>
      <c r="G13" s="15">
        <v>37</v>
      </c>
      <c r="H13" s="15">
        <v>37</v>
      </c>
      <c r="I13" s="15">
        <v>37</v>
      </c>
      <c r="J13" s="15">
        <v>37</v>
      </c>
      <c r="K13" s="15">
        <v>37</v>
      </c>
      <c r="L13" s="15">
        <v>37</v>
      </c>
      <c r="M13" s="15">
        <v>37</v>
      </c>
      <c r="N13" s="15">
        <v>37</v>
      </c>
      <c r="O13" s="15">
        <v>37</v>
      </c>
      <c r="P13" s="15">
        <v>37</v>
      </c>
      <c r="Q13" s="15">
        <v>37</v>
      </c>
    </row>
    <row r="14" spans="1:17 16371:16371">
      <c r="D14" s="2" t="s">
        <v>15</v>
      </c>
      <c r="F14" s="15">
        <v>99</v>
      </c>
      <c r="G14" s="15">
        <v>99</v>
      </c>
      <c r="H14" s="15">
        <v>99</v>
      </c>
      <c r="I14" s="15">
        <v>99</v>
      </c>
      <c r="J14" s="15">
        <v>99</v>
      </c>
      <c r="K14" s="15">
        <v>99</v>
      </c>
      <c r="L14" s="15">
        <v>99</v>
      </c>
      <c r="M14" s="15">
        <v>99</v>
      </c>
      <c r="N14" s="15">
        <v>99</v>
      </c>
      <c r="O14" s="15">
        <v>99</v>
      </c>
      <c r="P14" s="15">
        <v>99</v>
      </c>
      <c r="Q14" s="15">
        <v>99</v>
      </c>
    </row>
    <row r="15" spans="1:17 16371:16371"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 16371:16371">
      <c r="A16" s="1"/>
      <c r="B16" s="1" t="s">
        <v>168</v>
      </c>
      <c r="C16" s="1"/>
      <c r="D16" s="1"/>
      <c r="E16" s="1"/>
      <c r="F16" s="13">
        <f t="shared" ref="F16:Q16" si="3">+F18+F19</f>
        <v>229559</v>
      </c>
      <c r="G16" s="13">
        <f t="shared" si="3"/>
        <v>227314</v>
      </c>
      <c r="H16" s="13">
        <f t="shared" si="3"/>
        <v>222909</v>
      </c>
      <c r="I16" s="13">
        <f t="shared" si="3"/>
        <v>219136</v>
      </c>
      <c r="J16" s="13">
        <f t="shared" si="3"/>
        <v>213831</v>
      </c>
      <c r="K16" s="13">
        <f t="shared" si="3"/>
        <v>218703</v>
      </c>
      <c r="L16" s="13">
        <f t="shared" si="3"/>
        <v>221342</v>
      </c>
      <c r="M16" s="13">
        <f t="shared" si="3"/>
        <v>210528</v>
      </c>
      <c r="N16" s="13">
        <f t="shared" si="3"/>
        <v>215002</v>
      </c>
      <c r="O16" s="13">
        <f t="shared" si="3"/>
        <v>211614</v>
      </c>
      <c r="P16" s="13">
        <f t="shared" si="3"/>
        <v>208421</v>
      </c>
      <c r="Q16" s="13">
        <f t="shared" si="3"/>
        <v>193281</v>
      </c>
      <c r="XEQ16" s="1"/>
    </row>
    <row r="17" spans="1:17" ht="3.75" customHeight="1">
      <c r="A17" s="1"/>
      <c r="B17" s="1"/>
      <c r="C17" s="1"/>
      <c r="D17" s="1"/>
      <c r="E17" s="1"/>
      <c r="F17" s="13"/>
      <c r="G17" s="13"/>
      <c r="H17" s="15"/>
      <c r="I17" s="15"/>
      <c r="J17" s="15"/>
      <c r="K17" s="15"/>
      <c r="L17" s="15"/>
      <c r="M17" s="15"/>
      <c r="O17" s="15"/>
      <c r="P17" s="15"/>
      <c r="Q17" s="15"/>
    </row>
    <row r="18" spans="1:17">
      <c r="C18" s="2" t="s">
        <v>167</v>
      </c>
      <c r="F18" s="15">
        <v>225185</v>
      </c>
      <c r="G18" s="15">
        <v>222919</v>
      </c>
      <c r="H18" s="15">
        <v>218470</v>
      </c>
      <c r="I18" s="15">
        <v>214661</v>
      </c>
      <c r="J18" s="15">
        <v>209349</v>
      </c>
      <c r="K18" s="15">
        <v>214003</v>
      </c>
      <c r="L18" s="15">
        <v>216613</v>
      </c>
      <c r="M18" s="15">
        <v>205727</v>
      </c>
      <c r="N18" s="15">
        <v>209991</v>
      </c>
      <c r="O18" s="15">
        <v>206654</v>
      </c>
      <c r="P18" s="15">
        <v>203583</v>
      </c>
      <c r="Q18" s="15">
        <v>188510</v>
      </c>
    </row>
    <row r="19" spans="1:17">
      <c r="C19" s="2" t="s">
        <v>19</v>
      </c>
      <c r="F19" s="14">
        <f t="shared" ref="F19:Q19" si="4">SUM(F20:F23)</f>
        <v>4374</v>
      </c>
      <c r="G19" s="14">
        <f t="shared" si="4"/>
        <v>4395</v>
      </c>
      <c r="H19" s="14">
        <f t="shared" si="4"/>
        <v>4439</v>
      </c>
      <c r="I19" s="14">
        <f t="shared" si="4"/>
        <v>4475</v>
      </c>
      <c r="J19" s="14">
        <f t="shared" si="4"/>
        <v>4482</v>
      </c>
      <c r="K19" s="14">
        <f t="shared" si="4"/>
        <v>4700</v>
      </c>
      <c r="L19" s="14">
        <f t="shared" si="4"/>
        <v>4729</v>
      </c>
      <c r="M19" s="14">
        <f t="shared" si="4"/>
        <v>4801</v>
      </c>
      <c r="N19" s="14">
        <f t="shared" si="4"/>
        <v>5011</v>
      </c>
      <c r="O19" s="14">
        <f t="shared" si="4"/>
        <v>4960</v>
      </c>
      <c r="P19" s="14">
        <f t="shared" si="4"/>
        <v>4838</v>
      </c>
      <c r="Q19" s="14">
        <f t="shared" si="4"/>
        <v>4771</v>
      </c>
    </row>
    <row r="20" spans="1:17">
      <c r="D20" s="2" t="s">
        <v>12</v>
      </c>
      <c r="F20" s="15">
        <v>4334</v>
      </c>
      <c r="G20" s="15">
        <v>4395</v>
      </c>
      <c r="H20" s="15">
        <v>4439</v>
      </c>
      <c r="I20" s="15">
        <v>4475</v>
      </c>
      <c r="J20" s="15">
        <v>4482</v>
      </c>
      <c r="K20" s="15">
        <v>4700</v>
      </c>
      <c r="L20" s="15">
        <v>4729</v>
      </c>
      <c r="M20" s="15">
        <v>4801</v>
      </c>
      <c r="N20" s="15">
        <v>5011</v>
      </c>
      <c r="O20" s="15">
        <v>4960</v>
      </c>
      <c r="P20" s="15">
        <v>4838</v>
      </c>
      <c r="Q20" s="15">
        <v>4771</v>
      </c>
    </row>
    <row r="21" spans="1:17" hidden="1">
      <c r="D21" s="2" t="s">
        <v>13</v>
      </c>
      <c r="F21" s="15">
        <v>0</v>
      </c>
      <c r="G21" s="15">
        <v>0</v>
      </c>
      <c r="H21" s="15"/>
      <c r="I21" s="15"/>
      <c r="J21" s="15"/>
      <c r="K21" s="15"/>
      <c r="L21" s="15"/>
      <c r="O21" s="15"/>
      <c r="P21" s="15"/>
      <c r="Q21" s="15"/>
    </row>
    <row r="22" spans="1:17">
      <c r="D22" s="2" t="s">
        <v>21</v>
      </c>
      <c r="F22" s="15">
        <v>40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2">
        <v>0</v>
      </c>
      <c r="N22" s="2">
        <v>0</v>
      </c>
      <c r="O22" s="2">
        <v>0</v>
      </c>
      <c r="P22" s="15">
        <v>0</v>
      </c>
      <c r="Q22" s="15">
        <v>0</v>
      </c>
    </row>
    <row r="23" spans="1:17" hidden="1">
      <c r="D23" s="2" t="s">
        <v>15</v>
      </c>
      <c r="F23" s="24">
        <v>0</v>
      </c>
    </row>
    <row r="26" spans="1:17">
      <c r="A26" s="8"/>
      <c r="B26" s="9"/>
      <c r="C26" s="9"/>
      <c r="D26" s="9"/>
    </row>
    <row r="27" spans="1:17">
      <c r="A27" s="2" t="s">
        <v>11</v>
      </c>
    </row>
  </sheetData>
  <mergeCells count="1">
    <mergeCell ref="A5:E5"/>
  </mergeCells>
  <printOptions horizontalCentered="1"/>
  <pageMargins left="0.23622047244094491" right="0" top="0.74803149606299213" bottom="0" header="0" footer="0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5E80-FF2F-4C87-932C-7C640E749665}">
  <sheetPr codeName="Sheet4">
    <pageSetUpPr fitToPage="1"/>
  </sheetPr>
  <dimension ref="A1:Q60"/>
  <sheetViews>
    <sheetView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A5" sqref="A5:Q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28.140625" style="2" bestFit="1" customWidth="1"/>
    <col min="6" max="17" width="11" style="2" customWidth="1"/>
    <col min="18" max="180" width="9.140625" style="2"/>
    <col min="181" max="181" width="9.28515625" style="2" bestFit="1" customWidth="1"/>
    <col min="182" max="16384" width="9.140625" style="2"/>
  </cols>
  <sheetData>
    <row r="1" spans="1:17">
      <c r="A1" s="19" t="s">
        <v>25</v>
      </c>
      <c r="B1" s="19"/>
      <c r="C1" s="19"/>
      <c r="D1" s="19"/>
      <c r="E1" s="19"/>
      <c r="F1" s="19"/>
    </row>
    <row r="2" spans="1:17">
      <c r="A2" s="19" t="s">
        <v>124</v>
      </c>
      <c r="B2" s="19"/>
      <c r="C2" s="19"/>
      <c r="D2" s="19"/>
      <c r="E2" s="19"/>
      <c r="F2" s="19"/>
    </row>
    <row r="3" spans="1:17">
      <c r="A3" s="4" t="s">
        <v>0</v>
      </c>
      <c r="B3" s="4"/>
      <c r="C3" s="4"/>
      <c r="D3" s="4"/>
      <c r="E3" s="4"/>
      <c r="F3" s="4"/>
    </row>
    <row r="4" spans="1:17" ht="12" customHeight="1">
      <c r="A4" s="4"/>
    </row>
    <row r="5" spans="1:17" ht="18" customHeight="1">
      <c r="A5" s="186" t="s">
        <v>1</v>
      </c>
      <c r="B5" s="187"/>
      <c r="C5" s="187"/>
      <c r="D5" s="187"/>
      <c r="E5" s="187"/>
      <c r="F5" s="163" t="s">
        <v>5</v>
      </c>
      <c r="G5" s="163" t="s">
        <v>23</v>
      </c>
      <c r="H5" s="163" t="s">
        <v>24</v>
      </c>
      <c r="I5" s="163" t="s">
        <v>26</v>
      </c>
      <c r="J5" s="163" t="s">
        <v>27</v>
      </c>
      <c r="K5" s="163" t="s">
        <v>36</v>
      </c>
      <c r="L5" s="163" t="s">
        <v>28</v>
      </c>
      <c r="M5" s="163" t="s">
        <v>29</v>
      </c>
      <c r="N5" s="163" t="s">
        <v>39</v>
      </c>
      <c r="O5" s="163" t="s">
        <v>31</v>
      </c>
      <c r="P5" s="163" t="s">
        <v>32</v>
      </c>
      <c r="Q5" s="163" t="s">
        <v>33</v>
      </c>
    </row>
    <row r="6" spans="1:17" ht="9" customHeight="1">
      <c r="A6" s="5"/>
      <c r="B6" s="5"/>
      <c r="C6" s="5"/>
      <c r="D6" s="5"/>
      <c r="E6" s="5"/>
      <c r="F6" s="5"/>
    </row>
    <row r="7" spans="1:17" ht="14.25" customHeight="1">
      <c r="A7" s="1" t="s">
        <v>6</v>
      </c>
      <c r="B7" s="1"/>
      <c r="C7" s="1"/>
      <c r="D7" s="1"/>
      <c r="E7" s="1"/>
      <c r="F7" s="13">
        <v>7325554</v>
      </c>
      <c r="G7" s="13">
        <v>7363068</v>
      </c>
      <c r="H7" s="13">
        <v>7744607</v>
      </c>
      <c r="I7" s="13">
        <v>7812384</v>
      </c>
      <c r="J7" s="13">
        <v>7915755</v>
      </c>
      <c r="K7" s="13">
        <v>7938557</v>
      </c>
      <c r="L7" s="13">
        <v>8119598</v>
      </c>
      <c r="M7" s="13">
        <v>8220304</v>
      </c>
      <c r="N7" s="13">
        <v>8387753</v>
      </c>
      <c r="O7" s="13">
        <v>8468408</v>
      </c>
      <c r="P7" s="13">
        <v>8441502</v>
      </c>
      <c r="Q7" s="13">
        <v>8170414</v>
      </c>
    </row>
    <row r="8" spans="1:17">
      <c r="A8" s="1"/>
      <c r="B8" s="1" t="s">
        <v>37</v>
      </c>
      <c r="C8" s="1"/>
      <c r="D8" s="1"/>
      <c r="E8" s="1"/>
      <c r="F8" s="13">
        <v>540948</v>
      </c>
      <c r="G8" s="13">
        <v>540948</v>
      </c>
      <c r="H8" s="13">
        <v>540948</v>
      </c>
      <c r="I8" s="13">
        <v>540948</v>
      </c>
      <c r="J8" s="13">
        <v>540156</v>
      </c>
      <c r="K8" s="13">
        <v>540156</v>
      </c>
      <c r="L8" s="13">
        <v>540156</v>
      </c>
      <c r="M8" s="13">
        <v>540156</v>
      </c>
      <c r="N8" s="13">
        <v>540156</v>
      </c>
      <c r="O8" s="13">
        <v>540156</v>
      </c>
      <c r="P8" s="13">
        <v>540156</v>
      </c>
      <c r="Q8" s="13">
        <v>156</v>
      </c>
    </row>
    <row r="9" spans="1:17">
      <c r="C9" s="2" t="s">
        <v>10</v>
      </c>
      <c r="F9" s="14">
        <v>540156</v>
      </c>
      <c r="G9" s="14">
        <v>540156</v>
      </c>
      <c r="H9" s="14">
        <v>540156</v>
      </c>
      <c r="I9" s="14">
        <v>540156</v>
      </c>
      <c r="J9" s="14">
        <v>540156</v>
      </c>
      <c r="K9" s="14">
        <v>540156</v>
      </c>
      <c r="L9" s="14">
        <v>540156</v>
      </c>
      <c r="M9" s="14">
        <v>540156</v>
      </c>
      <c r="N9" s="14">
        <v>540156</v>
      </c>
      <c r="O9" s="14">
        <v>540156</v>
      </c>
      <c r="P9" s="14">
        <v>540156</v>
      </c>
      <c r="Q9" s="14">
        <v>156</v>
      </c>
    </row>
    <row r="10" spans="1:17">
      <c r="D10" s="2" t="s">
        <v>2</v>
      </c>
      <c r="F10" s="15">
        <v>540156</v>
      </c>
      <c r="G10" s="15">
        <v>540156</v>
      </c>
      <c r="H10" s="15">
        <v>540156</v>
      </c>
      <c r="I10" s="15">
        <v>540156</v>
      </c>
      <c r="J10" s="15">
        <v>540156</v>
      </c>
      <c r="K10" s="15">
        <v>540156</v>
      </c>
      <c r="L10" s="15">
        <v>540156</v>
      </c>
      <c r="M10" s="15">
        <v>540156</v>
      </c>
      <c r="N10" s="15">
        <v>540156</v>
      </c>
      <c r="O10" s="15">
        <v>540156</v>
      </c>
      <c r="P10" s="15">
        <v>540156</v>
      </c>
      <c r="Q10" s="15">
        <v>156</v>
      </c>
    </row>
    <row r="11" spans="1:17">
      <c r="E11" s="2" t="s">
        <v>48</v>
      </c>
      <c r="F11" s="15">
        <v>156</v>
      </c>
      <c r="G11" s="15">
        <v>156</v>
      </c>
      <c r="H11" s="15">
        <v>156</v>
      </c>
      <c r="I11" s="15">
        <v>156</v>
      </c>
      <c r="J11" s="15">
        <v>156</v>
      </c>
      <c r="K11" s="15">
        <v>156</v>
      </c>
      <c r="L11" s="15">
        <v>156</v>
      </c>
      <c r="M11" s="15">
        <v>156</v>
      </c>
      <c r="N11" s="15">
        <v>156</v>
      </c>
      <c r="O11" s="15">
        <v>156</v>
      </c>
      <c r="P11" s="15">
        <v>156</v>
      </c>
      <c r="Q11" s="15">
        <v>156</v>
      </c>
    </row>
    <row r="12" spans="1:17" ht="18">
      <c r="E12" s="2" t="s">
        <v>126</v>
      </c>
      <c r="F12" s="15">
        <v>540000</v>
      </c>
      <c r="G12" s="15">
        <v>540000</v>
      </c>
      <c r="H12" s="15">
        <v>540000</v>
      </c>
      <c r="I12" s="15">
        <v>540000</v>
      </c>
      <c r="J12" s="15">
        <v>540000</v>
      </c>
      <c r="K12" s="15">
        <v>540000</v>
      </c>
      <c r="L12" s="15">
        <v>540000</v>
      </c>
      <c r="M12" s="15">
        <v>540000</v>
      </c>
      <c r="N12" s="15">
        <v>540000</v>
      </c>
      <c r="O12" s="15">
        <v>540000</v>
      </c>
      <c r="P12" s="15">
        <v>540000</v>
      </c>
      <c r="Q12" s="15">
        <v>0</v>
      </c>
    </row>
    <row r="13" spans="1:17">
      <c r="D13" s="2" t="s">
        <v>3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</row>
    <row r="14" spans="1:17">
      <c r="C14" s="2" t="s">
        <v>4</v>
      </c>
      <c r="F14" s="14">
        <v>792</v>
      </c>
      <c r="G14" s="14">
        <v>792</v>
      </c>
      <c r="H14" s="14">
        <v>792</v>
      </c>
      <c r="I14" s="14">
        <v>792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</row>
    <row r="15" spans="1:17">
      <c r="D15" s="2" t="s">
        <v>12</v>
      </c>
      <c r="F15" s="15">
        <v>350</v>
      </c>
      <c r="G15" s="15">
        <v>350</v>
      </c>
      <c r="H15" s="15">
        <v>350</v>
      </c>
      <c r="I15" s="15">
        <v>350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</row>
    <row r="16" spans="1:17">
      <c r="D16" s="2" t="s">
        <v>13</v>
      </c>
      <c r="F16" s="15">
        <v>442</v>
      </c>
      <c r="G16" s="15">
        <v>442</v>
      </c>
      <c r="H16" s="15">
        <v>442</v>
      </c>
      <c r="I16" s="15">
        <v>442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</row>
    <row r="17" spans="1:17" hidden="1">
      <c r="D17" s="2" t="s">
        <v>14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</row>
    <row r="18" spans="1:17" hidden="1">
      <c r="D18" s="2" t="s">
        <v>15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</row>
    <row r="19" spans="1:17" ht="8.25" customHeight="1">
      <c r="F19" s="15"/>
      <c r="G19" s="15"/>
      <c r="H19" s="15"/>
      <c r="I19" s="15"/>
      <c r="J19" s="15"/>
      <c r="K19" s="15"/>
      <c r="L19" s="15"/>
      <c r="M19" s="15"/>
      <c r="N19" s="15"/>
    </row>
    <row r="20" spans="1:17" s="1" customFormat="1" ht="15" customHeight="1">
      <c r="B20" s="1" t="s">
        <v>38</v>
      </c>
      <c r="F20" s="16">
        <v>6784606</v>
      </c>
      <c r="G20" s="16">
        <v>6822120</v>
      </c>
      <c r="H20" s="16">
        <v>7203659</v>
      </c>
      <c r="I20" s="16">
        <v>7271436</v>
      </c>
      <c r="J20" s="16">
        <v>7375599</v>
      </c>
      <c r="K20" s="16">
        <v>7398401</v>
      </c>
      <c r="L20" s="16">
        <v>7579442</v>
      </c>
      <c r="M20" s="16">
        <v>7680148</v>
      </c>
      <c r="N20" s="16">
        <v>7847597</v>
      </c>
      <c r="O20" s="16">
        <v>7928252</v>
      </c>
      <c r="P20" s="16">
        <v>7901346</v>
      </c>
      <c r="Q20" s="16">
        <v>8170258</v>
      </c>
    </row>
    <row r="21" spans="1:17">
      <c r="F21" s="15"/>
      <c r="G21" s="15"/>
      <c r="H21" s="15"/>
      <c r="I21" s="15"/>
      <c r="J21" s="15"/>
      <c r="K21" s="15"/>
      <c r="L21" s="15"/>
      <c r="M21" s="15"/>
      <c r="N21" s="15"/>
      <c r="P21" s="15"/>
    </row>
    <row r="22" spans="1:17" ht="15" customHeight="1">
      <c r="A22" s="1" t="s">
        <v>41</v>
      </c>
      <c r="B22" s="1"/>
      <c r="C22" s="1"/>
      <c r="D22" s="1"/>
      <c r="E22" s="1"/>
      <c r="F22" s="13">
        <v>3001907</v>
      </c>
      <c r="G22" s="13">
        <v>3042766</v>
      </c>
      <c r="H22" s="13">
        <v>3029223</v>
      </c>
      <c r="I22" s="13">
        <v>3178932</v>
      </c>
      <c r="J22" s="13">
        <v>3155373</v>
      </c>
      <c r="K22" s="13">
        <v>3227476</v>
      </c>
      <c r="L22" s="13">
        <v>3490867</v>
      </c>
      <c r="M22" s="13">
        <v>3422215</v>
      </c>
      <c r="N22" s="13">
        <v>3529294</v>
      </c>
      <c r="O22" s="13">
        <v>3503124</v>
      </c>
      <c r="P22" s="13">
        <v>3490326</v>
      </c>
      <c r="Q22" s="13">
        <v>3558135</v>
      </c>
    </row>
    <row r="23" spans="1:17">
      <c r="A23" s="1"/>
      <c r="B23" s="1" t="s">
        <v>37</v>
      </c>
      <c r="C23" s="1"/>
      <c r="D23" s="1"/>
      <c r="E23" s="1"/>
      <c r="F23" s="13">
        <v>1335318</v>
      </c>
      <c r="G23" s="13">
        <v>1359864</v>
      </c>
      <c r="H23" s="13">
        <v>1368303</v>
      </c>
      <c r="I23" s="13">
        <v>1380529</v>
      </c>
      <c r="J23" s="13">
        <v>1368630</v>
      </c>
      <c r="K23" s="13">
        <v>1415064</v>
      </c>
      <c r="L23" s="13">
        <v>1471994</v>
      </c>
      <c r="M23" s="13">
        <v>1471188</v>
      </c>
      <c r="N23" s="13">
        <v>1542150</v>
      </c>
      <c r="O23" s="13">
        <v>1529576</v>
      </c>
      <c r="P23" s="13">
        <v>1527793</v>
      </c>
      <c r="Q23" s="13">
        <v>1574246</v>
      </c>
    </row>
    <row r="24" spans="1:17" ht="15.75" customHeight="1">
      <c r="C24" s="2" t="s">
        <v>10</v>
      </c>
      <c r="F24" s="17">
        <v>1335318</v>
      </c>
      <c r="G24" s="17">
        <v>1359864</v>
      </c>
      <c r="H24" s="17">
        <v>1368303</v>
      </c>
      <c r="I24" s="17">
        <v>1380529</v>
      </c>
      <c r="J24" s="17">
        <v>1368630</v>
      </c>
      <c r="K24" s="17">
        <v>1415064</v>
      </c>
      <c r="L24" s="17">
        <v>1471994</v>
      </c>
      <c r="M24" s="17">
        <v>1471188</v>
      </c>
      <c r="N24" s="17">
        <v>1542150</v>
      </c>
      <c r="O24" s="17">
        <v>1529576</v>
      </c>
      <c r="P24" s="17">
        <v>1527793</v>
      </c>
      <c r="Q24" s="17">
        <v>1574246</v>
      </c>
    </row>
    <row r="25" spans="1:17">
      <c r="D25" s="2" t="s">
        <v>2</v>
      </c>
      <c r="F25" s="15">
        <v>1316574</v>
      </c>
      <c r="G25" s="15">
        <v>1341423</v>
      </c>
      <c r="H25" s="15">
        <v>1350970</v>
      </c>
      <c r="I25" s="15">
        <v>1363322</v>
      </c>
      <c r="J25" s="15">
        <v>1351618</v>
      </c>
      <c r="K25" s="15">
        <v>1398146</v>
      </c>
      <c r="L25" s="15">
        <v>1454336</v>
      </c>
      <c r="M25" s="15">
        <v>1453960</v>
      </c>
      <c r="N25" s="15">
        <v>1525143</v>
      </c>
      <c r="O25" s="15">
        <v>1513279</v>
      </c>
      <c r="P25" s="15">
        <v>1511439</v>
      </c>
      <c r="Q25" s="15">
        <v>1558131</v>
      </c>
    </row>
    <row r="26" spans="1:17">
      <c r="D26" s="2" t="s">
        <v>3</v>
      </c>
      <c r="F26" s="15">
        <v>18744</v>
      </c>
      <c r="G26" s="15">
        <v>18441</v>
      </c>
      <c r="H26" s="15">
        <v>17333</v>
      </c>
      <c r="I26" s="15">
        <v>17207</v>
      </c>
      <c r="J26" s="15">
        <v>17012</v>
      </c>
      <c r="K26" s="15">
        <v>16918</v>
      </c>
      <c r="L26" s="15">
        <v>17658</v>
      </c>
      <c r="M26" s="15">
        <v>17228</v>
      </c>
      <c r="N26" s="15">
        <v>17007</v>
      </c>
      <c r="O26" s="15">
        <v>16297</v>
      </c>
      <c r="P26" s="15">
        <v>16354</v>
      </c>
      <c r="Q26" s="15">
        <v>16115</v>
      </c>
    </row>
    <row r="27" spans="1:17">
      <c r="C27" s="2" t="s">
        <v>4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</row>
    <row r="28" spans="1:17" hidden="1">
      <c r="D28" s="2" t="s">
        <v>12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/>
      <c r="N28" s="15"/>
      <c r="P28" s="15"/>
    </row>
    <row r="29" spans="1:17" hidden="1">
      <c r="D29" s="2" t="s">
        <v>13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/>
      <c r="N29" s="15"/>
      <c r="P29" s="15"/>
    </row>
    <row r="30" spans="1:17" hidden="1">
      <c r="D30" s="2" t="s">
        <v>14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/>
      <c r="N30" s="15"/>
      <c r="P30" s="15"/>
    </row>
    <row r="31" spans="1:17" hidden="1">
      <c r="D31" s="2" t="s">
        <v>15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/>
      <c r="N31" s="15"/>
      <c r="P31" s="15"/>
    </row>
    <row r="32" spans="1:17" hidden="1">
      <c r="D32" s="2" t="s">
        <v>16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/>
      <c r="N32" s="15"/>
      <c r="P32" s="15"/>
    </row>
    <row r="33" spans="1:17" ht="11.25" customHeight="1">
      <c r="F33" s="15"/>
      <c r="G33" s="15"/>
      <c r="H33" s="15"/>
      <c r="I33" s="15"/>
      <c r="J33" s="15"/>
      <c r="K33" s="15"/>
      <c r="L33" s="15"/>
      <c r="M33" s="15"/>
      <c r="N33" s="15"/>
      <c r="P33" s="15"/>
    </row>
    <row r="34" spans="1:17" s="1" customFormat="1">
      <c r="B34" s="1" t="s">
        <v>38</v>
      </c>
      <c r="F34" s="16">
        <v>1666589</v>
      </c>
      <c r="G34" s="16">
        <v>1682902</v>
      </c>
      <c r="H34" s="16">
        <v>1660920</v>
      </c>
      <c r="I34" s="16">
        <v>1798403</v>
      </c>
      <c r="J34" s="16">
        <v>1786743</v>
      </c>
      <c r="K34" s="16">
        <v>1812412</v>
      </c>
      <c r="L34" s="16">
        <v>2018873</v>
      </c>
      <c r="M34" s="16">
        <v>1951027</v>
      </c>
      <c r="N34" s="16">
        <v>1987144</v>
      </c>
      <c r="O34" s="16">
        <v>1973548</v>
      </c>
      <c r="P34" s="16">
        <v>1962533</v>
      </c>
      <c r="Q34" s="16">
        <v>1983889</v>
      </c>
    </row>
    <row r="35" spans="1:17">
      <c r="F35" s="15"/>
      <c r="G35" s="15"/>
      <c r="H35" s="15"/>
      <c r="I35" s="15"/>
      <c r="J35" s="15"/>
      <c r="K35" s="15"/>
      <c r="L35" s="15"/>
      <c r="M35" s="15"/>
      <c r="N35" s="15"/>
      <c r="P35" s="15"/>
    </row>
    <row r="36" spans="1:17" ht="18.75" customHeight="1">
      <c r="C36" s="6" t="s">
        <v>7</v>
      </c>
      <c r="D36" s="6"/>
      <c r="E36" s="6"/>
      <c r="F36" s="7">
        <v>10327461</v>
      </c>
      <c r="G36" s="7">
        <v>10405834</v>
      </c>
      <c r="H36" s="7">
        <v>10773830</v>
      </c>
      <c r="I36" s="7">
        <v>10991316</v>
      </c>
      <c r="J36" s="7">
        <v>11071128</v>
      </c>
      <c r="K36" s="7">
        <v>11166033</v>
      </c>
      <c r="L36" s="7">
        <v>11610465</v>
      </c>
      <c r="M36" s="7">
        <v>11642519</v>
      </c>
      <c r="N36" s="7">
        <v>11917047</v>
      </c>
      <c r="O36" s="7">
        <v>11971532</v>
      </c>
      <c r="P36" s="7">
        <v>11931828</v>
      </c>
      <c r="Q36" s="7">
        <v>11728549</v>
      </c>
    </row>
    <row r="37" spans="1:17">
      <c r="A37" s="8"/>
      <c r="B37" s="9"/>
      <c r="C37" s="9"/>
      <c r="D37" s="9"/>
    </row>
    <row r="38" spans="1:17" s="11" customFormat="1">
      <c r="A38" s="10" t="s">
        <v>8</v>
      </c>
      <c r="B38" s="10"/>
      <c r="C38" s="10"/>
      <c r="D38" s="10"/>
      <c r="E38" s="10"/>
      <c r="F38" s="10">
        <v>48.076000000000001</v>
      </c>
      <c r="G38" s="10">
        <v>48.652999999999999</v>
      </c>
      <c r="H38" s="11">
        <v>48.543999999999997</v>
      </c>
      <c r="I38" s="11">
        <v>48.155999999999999</v>
      </c>
      <c r="J38" s="11">
        <v>47.722999999999999</v>
      </c>
      <c r="K38" s="11">
        <v>48.704000000000001</v>
      </c>
      <c r="L38" s="11">
        <v>50.222999999999999</v>
      </c>
      <c r="M38" s="11">
        <v>49.762</v>
      </c>
      <c r="N38" s="11">
        <v>50.878999999999998</v>
      </c>
      <c r="O38" s="11">
        <v>50.552</v>
      </c>
      <c r="P38" s="11">
        <v>50.384</v>
      </c>
      <c r="Q38" s="11">
        <v>50.973999999999997</v>
      </c>
    </row>
    <row r="39" spans="1:17" s="11" customFormat="1">
      <c r="A39" s="10"/>
      <c r="B39" s="10"/>
      <c r="C39" s="10"/>
      <c r="D39" s="10"/>
      <c r="E39" s="10"/>
      <c r="F39" s="10"/>
    </row>
    <row r="40" spans="1:17">
      <c r="A40" s="2" t="s">
        <v>11</v>
      </c>
    </row>
    <row r="41" spans="1:17" ht="18">
      <c r="A41" s="2" t="s">
        <v>132</v>
      </c>
    </row>
    <row r="42" spans="1:17" s="11" customFormat="1">
      <c r="A42" s="10"/>
      <c r="B42" s="10"/>
      <c r="C42" s="10"/>
      <c r="D42" s="10"/>
      <c r="E42" s="10"/>
    </row>
    <row r="43" spans="1:17" s="11" customFormat="1">
      <c r="A43" s="10"/>
      <c r="B43" s="10"/>
      <c r="C43" s="10"/>
      <c r="D43" s="10"/>
      <c r="E43" s="10"/>
    </row>
    <row r="44" spans="1:17">
      <c r="A44" s="11" t="s">
        <v>22</v>
      </c>
    </row>
    <row r="45" spans="1:17">
      <c r="A45" s="11"/>
    </row>
    <row r="46" spans="1:17">
      <c r="E46" s="11"/>
    </row>
    <row r="47" spans="1:17">
      <c r="A47" s="12"/>
      <c r="E47" s="11"/>
    </row>
    <row r="48" spans="1:17">
      <c r="A48" s="12"/>
      <c r="E48" s="11"/>
    </row>
    <row r="49" spans="1:5">
      <c r="A49" s="12"/>
      <c r="E49" s="11"/>
    </row>
    <row r="50" spans="1:5">
      <c r="A50" s="12"/>
      <c r="E50" s="11"/>
    </row>
    <row r="51" spans="1:5">
      <c r="A51" s="12"/>
      <c r="E51" s="11"/>
    </row>
    <row r="52" spans="1:5">
      <c r="A52" s="12"/>
      <c r="E52" s="11"/>
    </row>
    <row r="53" spans="1:5">
      <c r="A53" s="12"/>
      <c r="E53" s="11"/>
    </row>
    <row r="54" spans="1:5">
      <c r="A54" s="12"/>
      <c r="E54" s="11"/>
    </row>
    <row r="55" spans="1:5">
      <c r="A55" s="12"/>
      <c r="E55" s="11"/>
    </row>
    <row r="56" spans="1:5">
      <c r="A56" s="12"/>
      <c r="E56" s="11"/>
    </row>
    <row r="57" spans="1:5">
      <c r="A57" s="12"/>
      <c r="E57" s="11"/>
    </row>
    <row r="58" spans="1:5">
      <c r="A58" s="12"/>
      <c r="E58" s="11"/>
    </row>
    <row r="59" spans="1:5">
      <c r="A59" s="12"/>
      <c r="E59" s="11"/>
    </row>
    <row r="60" spans="1:5">
      <c r="A60" s="12"/>
      <c r="E60" s="11"/>
    </row>
  </sheetData>
  <mergeCells count="1">
    <mergeCell ref="A5:E5"/>
  </mergeCells>
  <printOptions horizontalCentered="1"/>
  <pageMargins left="0" right="0" top="0.94488188976377963" bottom="0" header="0.39370078740157483" footer="0"/>
  <pageSetup paperSize="9" scale="64" orientation="portrait" r:id="rId1"/>
  <headerFooter>
    <oddHeader xml:space="preserve">&amp;CBUREAU OF THE TREASURY
Statistical Data Analysis Division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F412-6AF5-4C63-AA91-5D385A040C8E}">
  <sheetPr>
    <pageSetUpPr fitToPage="1"/>
  </sheetPr>
  <dimension ref="A1:XFD27"/>
  <sheetViews>
    <sheetView zoomScaleNormal="100" workbookViewId="0">
      <pane xSplit="5" ySplit="7" topLeftCell="F8" activePane="bottomRight" state="frozen"/>
      <selection activeCell="M88" sqref="M88"/>
      <selection pane="topRight" activeCell="M88" sqref="M88"/>
      <selection pane="bottomLeft" activeCell="M88" sqref="M88"/>
      <selection pane="bottomRight" activeCell="A5" sqref="A5:Q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8.85546875" style="2" customWidth="1"/>
    <col min="6" max="17" width="10.42578125" style="2" customWidth="1"/>
    <col min="18" max="16384" width="9.140625" style="2"/>
  </cols>
  <sheetData>
    <row r="1" spans="1:17 16384:16384">
      <c r="A1" s="19" t="s">
        <v>138</v>
      </c>
      <c r="B1" s="19"/>
      <c r="C1" s="19"/>
      <c r="D1" s="19"/>
      <c r="E1" s="19"/>
      <c r="F1" s="19"/>
    </row>
    <row r="2" spans="1:17 16384:16384">
      <c r="A2" s="19" t="str">
        <f>'[3]2021'!A2</f>
        <v>As of December 2021</v>
      </c>
      <c r="B2" s="19"/>
      <c r="C2" s="19"/>
      <c r="D2" s="19"/>
      <c r="E2" s="19"/>
      <c r="F2" s="19"/>
    </row>
    <row r="3" spans="1:17 16384:16384">
      <c r="A3" s="4" t="s">
        <v>0</v>
      </c>
      <c r="B3" s="4"/>
      <c r="C3" s="4"/>
      <c r="D3" s="4"/>
      <c r="E3" s="4"/>
      <c r="F3" s="4"/>
    </row>
    <row r="4" spans="1:17 16384:16384" ht="8.25" customHeight="1">
      <c r="A4" s="73"/>
      <c r="B4" s="73"/>
      <c r="C4" s="73"/>
      <c r="D4" s="73"/>
      <c r="E4" s="73"/>
      <c r="F4" s="73"/>
    </row>
    <row r="5" spans="1:17 16384:16384" ht="18" customHeight="1">
      <c r="A5" s="184" t="s">
        <v>1</v>
      </c>
      <c r="B5" s="184"/>
      <c r="C5" s="184"/>
      <c r="D5" s="184"/>
      <c r="E5" s="184"/>
      <c r="F5" s="161" t="s">
        <v>5</v>
      </c>
      <c r="G5" s="161" t="s">
        <v>23</v>
      </c>
      <c r="H5" s="161" t="s">
        <v>24</v>
      </c>
      <c r="I5" s="161" t="s">
        <v>26</v>
      </c>
      <c r="J5" s="161" t="s">
        <v>27</v>
      </c>
      <c r="K5" s="161" t="s">
        <v>36</v>
      </c>
      <c r="L5" s="161" t="s">
        <v>28</v>
      </c>
      <c r="M5" s="161" t="s">
        <v>29</v>
      </c>
      <c r="N5" s="161" t="s">
        <v>39</v>
      </c>
      <c r="O5" s="161" t="s">
        <v>31</v>
      </c>
      <c r="P5" s="161" t="s">
        <v>32</v>
      </c>
      <c r="Q5" s="161" t="s">
        <v>33</v>
      </c>
    </row>
    <row r="6" spans="1:17 16384:16384" ht="9" customHeight="1"/>
    <row r="7" spans="1:17 16384:16384" ht="17.25" customHeight="1">
      <c r="A7" s="6" t="s">
        <v>17</v>
      </c>
      <c r="B7" s="6"/>
      <c r="C7" s="6"/>
      <c r="D7" s="6"/>
      <c r="E7" s="6"/>
      <c r="F7" s="158">
        <f t="shared" ref="F7:M7" si="0">+F9+F16</f>
        <v>456387</v>
      </c>
      <c r="G7" s="158">
        <f t="shared" si="0"/>
        <v>446722</v>
      </c>
      <c r="H7" s="158">
        <f t="shared" si="0"/>
        <v>435811</v>
      </c>
      <c r="I7" s="158">
        <f t="shared" si="0"/>
        <v>434740</v>
      </c>
      <c r="J7" s="158">
        <f t="shared" si="0"/>
        <v>426591</v>
      </c>
      <c r="K7" s="158">
        <f t="shared" si="0"/>
        <v>438600</v>
      </c>
      <c r="L7" s="158">
        <f t="shared" si="0"/>
        <v>444307</v>
      </c>
      <c r="M7" s="158">
        <f t="shared" si="0"/>
        <v>432218</v>
      </c>
      <c r="N7" s="158">
        <f>+N9+N16</f>
        <v>432863</v>
      </c>
      <c r="O7" s="158">
        <f>+O9+O16</f>
        <v>426464</v>
      </c>
      <c r="P7" s="158">
        <f>+P9+P16</f>
        <v>417847</v>
      </c>
      <c r="Q7" s="158">
        <f>+Q9+Q16</f>
        <v>423917</v>
      </c>
    </row>
    <row r="8" spans="1:17 16384:16384">
      <c r="A8" s="1"/>
      <c r="B8" s="1"/>
      <c r="C8" s="1"/>
      <c r="D8" s="1"/>
      <c r="E8" s="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 16384:16384">
      <c r="A9" s="1"/>
      <c r="B9" s="1" t="s">
        <v>18</v>
      </c>
      <c r="C9" s="1"/>
      <c r="D9" s="1"/>
      <c r="E9" s="1"/>
      <c r="F9" s="13">
        <f t="shared" ref="F9:M9" si="1">+F11+F12</f>
        <v>254107</v>
      </c>
      <c r="G9" s="13">
        <f t="shared" si="1"/>
        <v>244122</v>
      </c>
      <c r="H9" s="13">
        <f t="shared" si="1"/>
        <v>239281</v>
      </c>
      <c r="I9" s="13">
        <f t="shared" si="1"/>
        <v>238530</v>
      </c>
      <c r="J9" s="13">
        <f t="shared" si="1"/>
        <v>233010</v>
      </c>
      <c r="K9" s="13">
        <f t="shared" si="1"/>
        <v>244076</v>
      </c>
      <c r="L9" s="13">
        <f t="shared" si="1"/>
        <v>242653</v>
      </c>
      <c r="M9" s="13">
        <f t="shared" si="1"/>
        <v>233113</v>
      </c>
      <c r="N9" s="13">
        <f>+N11+N12</f>
        <v>232969</v>
      </c>
      <c r="O9" s="13">
        <f>+O11+O12</f>
        <v>194026</v>
      </c>
      <c r="P9" s="13">
        <f>+P11+P12</f>
        <v>189083</v>
      </c>
      <c r="Q9" s="13">
        <f>+Q11+Q12</f>
        <v>195075</v>
      </c>
    </row>
    <row r="10" spans="1:17 16384:16384" ht="4.5" customHeight="1">
      <c r="A10" s="1"/>
      <c r="B10" s="1"/>
      <c r="C10" s="1"/>
      <c r="D10" s="1"/>
      <c r="E10" s="1"/>
      <c r="F10" s="13"/>
      <c r="G10" s="13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 16384:16384">
      <c r="C11" s="2" t="s">
        <v>167</v>
      </c>
      <c r="F11" s="15">
        <v>253971</v>
      </c>
      <c r="G11" s="15">
        <v>243986</v>
      </c>
      <c r="H11" s="15">
        <v>239145</v>
      </c>
      <c r="I11" s="15">
        <v>238394</v>
      </c>
      <c r="J11" s="15">
        <v>232874</v>
      </c>
      <c r="K11" s="15">
        <v>243940</v>
      </c>
      <c r="L11" s="15">
        <v>242517</v>
      </c>
      <c r="M11" s="15">
        <v>232977</v>
      </c>
      <c r="N11" s="15">
        <v>232833</v>
      </c>
      <c r="O11" s="15">
        <v>193890</v>
      </c>
      <c r="P11" s="15">
        <v>188947</v>
      </c>
      <c r="Q11" s="15">
        <v>194939</v>
      </c>
    </row>
    <row r="12" spans="1:17 16384:16384">
      <c r="C12" s="2" t="s">
        <v>19</v>
      </c>
      <c r="F12" s="14">
        <f t="shared" ref="F12:O12" si="2">+F13+F14</f>
        <v>136</v>
      </c>
      <c r="G12" s="14">
        <f t="shared" si="2"/>
        <v>136</v>
      </c>
      <c r="H12" s="14">
        <f t="shared" si="2"/>
        <v>136</v>
      </c>
      <c r="I12" s="14">
        <f t="shared" si="2"/>
        <v>136</v>
      </c>
      <c r="J12" s="14">
        <f t="shared" si="2"/>
        <v>136</v>
      </c>
      <c r="K12" s="14">
        <f t="shared" si="2"/>
        <v>136</v>
      </c>
      <c r="L12" s="14">
        <f t="shared" si="2"/>
        <v>136</v>
      </c>
      <c r="M12" s="14">
        <f t="shared" si="2"/>
        <v>136</v>
      </c>
      <c r="N12" s="14">
        <f t="shared" si="2"/>
        <v>136</v>
      </c>
      <c r="O12" s="14">
        <f t="shared" si="2"/>
        <v>136</v>
      </c>
      <c r="P12" s="14">
        <f>+P13+P14</f>
        <v>136</v>
      </c>
      <c r="Q12" s="14">
        <f>+Q13+Q14</f>
        <v>136</v>
      </c>
    </row>
    <row r="13" spans="1:17 16384:16384">
      <c r="D13" s="2" t="s">
        <v>20</v>
      </c>
      <c r="F13" s="15">
        <v>37</v>
      </c>
      <c r="G13" s="15">
        <v>37</v>
      </c>
      <c r="H13" s="15">
        <v>37</v>
      </c>
      <c r="I13" s="15">
        <v>37</v>
      </c>
      <c r="J13" s="15">
        <v>37</v>
      </c>
      <c r="K13" s="15">
        <v>37</v>
      </c>
      <c r="L13" s="15">
        <v>37</v>
      </c>
      <c r="M13" s="15">
        <v>37</v>
      </c>
      <c r="N13" s="15">
        <v>37</v>
      </c>
      <c r="O13" s="15">
        <v>37</v>
      </c>
      <c r="P13" s="15">
        <v>37</v>
      </c>
      <c r="Q13" s="15">
        <v>37</v>
      </c>
    </row>
    <row r="14" spans="1:17 16384:16384">
      <c r="D14" s="2" t="s">
        <v>15</v>
      </c>
      <c r="F14" s="15">
        <v>99</v>
      </c>
      <c r="G14" s="15">
        <v>99</v>
      </c>
      <c r="H14" s="15">
        <v>99</v>
      </c>
      <c r="I14" s="15">
        <v>99</v>
      </c>
      <c r="J14" s="15">
        <v>99</v>
      </c>
      <c r="K14" s="15">
        <v>99</v>
      </c>
      <c r="L14" s="15">
        <v>99</v>
      </c>
      <c r="M14" s="15">
        <v>99</v>
      </c>
      <c r="N14" s="15">
        <v>99</v>
      </c>
      <c r="O14" s="15">
        <v>99</v>
      </c>
      <c r="P14" s="15">
        <v>99</v>
      </c>
      <c r="Q14" s="15">
        <v>99</v>
      </c>
    </row>
    <row r="15" spans="1:17 16384:16384"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 16384:16384">
      <c r="A16" s="1"/>
      <c r="B16" s="1" t="s">
        <v>168</v>
      </c>
      <c r="C16" s="1"/>
      <c r="D16" s="1"/>
      <c r="E16" s="1"/>
      <c r="F16" s="13">
        <f t="shared" ref="F16:Q16" si="3">+F18+F19</f>
        <v>202280</v>
      </c>
      <c r="G16" s="13">
        <f t="shared" si="3"/>
        <v>202600</v>
      </c>
      <c r="H16" s="13">
        <f t="shared" si="3"/>
        <v>196530</v>
      </c>
      <c r="I16" s="13">
        <f t="shared" si="3"/>
        <v>196210</v>
      </c>
      <c r="J16" s="13">
        <f t="shared" si="3"/>
        <v>193581</v>
      </c>
      <c r="K16" s="13">
        <f t="shared" si="3"/>
        <v>194524</v>
      </c>
      <c r="L16" s="13">
        <f t="shared" si="3"/>
        <v>201654</v>
      </c>
      <c r="M16" s="13">
        <f t="shared" si="3"/>
        <v>199105</v>
      </c>
      <c r="N16" s="13">
        <f t="shared" si="3"/>
        <v>199894</v>
      </c>
      <c r="O16" s="13">
        <f t="shared" si="3"/>
        <v>232438</v>
      </c>
      <c r="P16" s="13">
        <f t="shared" si="3"/>
        <v>228764</v>
      </c>
      <c r="Q16" s="13">
        <f t="shared" si="3"/>
        <v>228842</v>
      </c>
      <c r="XFD16" s="1"/>
    </row>
    <row r="17" spans="1:17" ht="3.75" customHeight="1">
      <c r="A17" s="1"/>
      <c r="B17" s="1"/>
      <c r="C17" s="1"/>
      <c r="D17" s="1"/>
      <c r="E17" s="1"/>
      <c r="F17" s="13"/>
      <c r="G17" s="13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>
      <c r="C18" s="2" t="s">
        <v>167</v>
      </c>
      <c r="F18" s="15">
        <v>198167</v>
      </c>
      <c r="G18" s="15">
        <v>198437</v>
      </c>
      <c r="H18" s="15">
        <v>192377</v>
      </c>
      <c r="I18" s="15">
        <v>192089</v>
      </c>
      <c r="J18" s="15">
        <v>189497</v>
      </c>
      <c r="K18" s="15">
        <v>190357</v>
      </c>
      <c r="L18" s="15">
        <v>197357</v>
      </c>
      <c r="M18" s="15">
        <v>194848</v>
      </c>
      <c r="N18" s="15">
        <v>195542</v>
      </c>
      <c r="O18" s="15">
        <v>228113</v>
      </c>
      <c r="P18" s="15">
        <v>224455</v>
      </c>
      <c r="Q18" s="15">
        <v>224482</v>
      </c>
    </row>
    <row r="19" spans="1:17">
      <c r="C19" s="2" t="s">
        <v>19</v>
      </c>
      <c r="F19" s="14">
        <f t="shared" ref="F19:Q19" si="4">SUM(F20:F23)</f>
        <v>4113</v>
      </c>
      <c r="G19" s="14">
        <f t="shared" si="4"/>
        <v>4163</v>
      </c>
      <c r="H19" s="14">
        <f t="shared" si="4"/>
        <v>4153</v>
      </c>
      <c r="I19" s="14">
        <f t="shared" si="4"/>
        <v>4121</v>
      </c>
      <c r="J19" s="14">
        <f t="shared" si="4"/>
        <v>4084</v>
      </c>
      <c r="K19" s="14">
        <f t="shared" si="4"/>
        <v>4167</v>
      </c>
      <c r="L19" s="14">
        <f t="shared" si="4"/>
        <v>4297</v>
      </c>
      <c r="M19" s="14">
        <f t="shared" si="4"/>
        <v>4257</v>
      </c>
      <c r="N19" s="14">
        <f t="shared" si="4"/>
        <v>4352</v>
      </c>
      <c r="O19" s="14">
        <f t="shared" si="4"/>
        <v>4325</v>
      </c>
      <c r="P19" s="14">
        <f t="shared" si="4"/>
        <v>4309</v>
      </c>
      <c r="Q19" s="14">
        <f t="shared" si="4"/>
        <v>4360</v>
      </c>
    </row>
    <row r="20" spans="1:17">
      <c r="D20" s="2" t="s">
        <v>12</v>
      </c>
      <c r="F20" s="15">
        <v>4074</v>
      </c>
      <c r="G20" s="15">
        <v>4124</v>
      </c>
      <c r="H20" s="15">
        <v>4115</v>
      </c>
      <c r="I20" s="15">
        <v>4083</v>
      </c>
      <c r="J20" s="15">
        <v>4046</v>
      </c>
      <c r="K20" s="15">
        <v>4129</v>
      </c>
      <c r="L20" s="15">
        <v>4257</v>
      </c>
      <c r="M20" s="15">
        <v>4218</v>
      </c>
      <c r="N20" s="15">
        <v>4312</v>
      </c>
      <c r="O20" s="15">
        <v>4285</v>
      </c>
      <c r="P20" s="15">
        <v>4269</v>
      </c>
      <c r="Q20" s="15">
        <v>4320</v>
      </c>
    </row>
    <row r="21" spans="1:17" hidden="1">
      <c r="D21" s="2" t="s">
        <v>13</v>
      </c>
      <c r="F21" s="15">
        <v>0</v>
      </c>
      <c r="G21" s="15">
        <v>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>
      <c r="D22" s="2" t="s">
        <v>21</v>
      </c>
      <c r="F22" s="15">
        <v>39</v>
      </c>
      <c r="G22" s="15">
        <v>39</v>
      </c>
      <c r="H22" s="15">
        <v>38</v>
      </c>
      <c r="I22" s="15">
        <v>38</v>
      </c>
      <c r="J22" s="15">
        <v>38</v>
      </c>
      <c r="K22" s="15">
        <v>38</v>
      </c>
      <c r="L22" s="15">
        <v>40</v>
      </c>
      <c r="M22" s="15">
        <v>39</v>
      </c>
      <c r="N22" s="15">
        <v>40</v>
      </c>
      <c r="O22" s="15">
        <v>40</v>
      </c>
      <c r="P22" s="15">
        <v>40</v>
      </c>
      <c r="Q22" s="15">
        <v>40</v>
      </c>
    </row>
    <row r="23" spans="1:17" hidden="1">
      <c r="D23" s="2" t="s">
        <v>15</v>
      </c>
      <c r="F23" s="24">
        <v>0</v>
      </c>
    </row>
    <row r="26" spans="1:17">
      <c r="A26" s="8"/>
      <c r="B26" s="9"/>
      <c r="C26" s="9"/>
      <c r="D26" s="9"/>
    </row>
    <row r="27" spans="1:17">
      <c r="A27" s="2" t="s">
        <v>11</v>
      </c>
    </row>
  </sheetData>
  <mergeCells count="1">
    <mergeCell ref="A5:E5"/>
  </mergeCells>
  <printOptions horizontalCentered="1"/>
  <pageMargins left="0" right="0" top="0.94488188976377963" bottom="0" header="0.39370078740157483" footer="0"/>
  <pageSetup paperSize="9" scale="70" orientation="portrait" r:id="rId1"/>
  <headerFooter>
    <oddHeader>&amp;CBUREAU OF THE TREASURY
Statistical Data Analysis Division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S60"/>
  <sheetViews>
    <sheetView zoomScaleNormal="100" workbookViewId="0">
      <pane xSplit="5" ySplit="5" topLeftCell="F9" activePane="bottomRight" state="frozen"/>
      <selection pane="topRight" activeCell="F1" sqref="F1"/>
      <selection pane="bottomLeft" activeCell="A6" sqref="A6"/>
      <selection pane="bottomRight" activeCell="K36" sqref="K36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5.5703125" style="2" customWidth="1"/>
    <col min="6" max="14" width="10.140625" style="2" bestFit="1" customWidth="1"/>
    <col min="15" max="16" width="11.28515625" style="2" bestFit="1" customWidth="1"/>
    <col min="17" max="17" width="10.140625" style="2" bestFit="1" customWidth="1"/>
    <col min="18" max="191" width="9.140625" style="2"/>
    <col min="192" max="192" width="9.28515625" style="2" bestFit="1" customWidth="1"/>
    <col min="193" max="16384" width="9.140625" style="2"/>
  </cols>
  <sheetData>
    <row r="1" spans="1:19">
      <c r="A1" s="19" t="s">
        <v>25</v>
      </c>
      <c r="B1" s="19"/>
      <c r="C1" s="19"/>
      <c r="D1" s="19"/>
      <c r="E1" s="19"/>
      <c r="F1" s="19"/>
    </row>
    <row r="2" spans="1:19">
      <c r="A2" s="19" t="s">
        <v>47</v>
      </c>
      <c r="B2" s="19"/>
      <c r="C2" s="19"/>
      <c r="D2" s="19"/>
      <c r="E2" s="19"/>
      <c r="F2" s="19"/>
    </row>
    <row r="3" spans="1:19">
      <c r="A3" s="4" t="s">
        <v>0</v>
      </c>
      <c r="B3" s="4"/>
      <c r="C3" s="4"/>
      <c r="D3" s="4"/>
      <c r="E3" s="4"/>
      <c r="F3" s="4"/>
    </row>
    <row r="4" spans="1:19" ht="12" customHeight="1">
      <c r="A4" s="4"/>
    </row>
    <row r="5" spans="1:19" ht="18" customHeight="1">
      <c r="A5" s="186" t="s">
        <v>1</v>
      </c>
      <c r="B5" s="187"/>
      <c r="C5" s="187"/>
      <c r="D5" s="187"/>
      <c r="E5" s="187"/>
      <c r="F5" s="163" t="s">
        <v>5</v>
      </c>
      <c r="G5" s="163" t="s">
        <v>23</v>
      </c>
      <c r="H5" s="163" t="s">
        <v>24</v>
      </c>
      <c r="I5" s="163" t="s">
        <v>26</v>
      </c>
      <c r="J5" s="163" t="s">
        <v>27</v>
      </c>
      <c r="K5" s="163" t="s">
        <v>36</v>
      </c>
      <c r="L5" s="163" t="s">
        <v>28</v>
      </c>
      <c r="M5" s="163" t="s">
        <v>29</v>
      </c>
      <c r="N5" s="163" t="s">
        <v>30</v>
      </c>
      <c r="O5" s="163" t="s">
        <v>31</v>
      </c>
      <c r="P5" s="163" t="s">
        <v>32</v>
      </c>
      <c r="Q5" s="163" t="s">
        <v>33</v>
      </c>
    </row>
    <row r="6" spans="1:19" ht="9" customHeight="1">
      <c r="A6" s="5"/>
      <c r="B6" s="5"/>
      <c r="C6" s="5"/>
      <c r="D6" s="5"/>
      <c r="E6" s="5"/>
      <c r="F6" s="5"/>
    </row>
    <row r="7" spans="1:19" ht="14.25" customHeight="1">
      <c r="A7" s="1" t="s">
        <v>6</v>
      </c>
      <c r="B7" s="1"/>
      <c r="C7" s="1"/>
      <c r="D7" s="1"/>
      <c r="E7" s="1"/>
      <c r="F7" s="20">
        <v>5123765</v>
      </c>
      <c r="G7" s="20">
        <v>5449851</v>
      </c>
      <c r="H7" s="20">
        <v>5812867</v>
      </c>
      <c r="I7" s="20">
        <v>5863517</v>
      </c>
      <c r="J7" s="20">
        <v>6034036</v>
      </c>
      <c r="K7" s="20">
        <v>6190040</v>
      </c>
      <c r="L7" s="20">
        <v>6256489</v>
      </c>
      <c r="M7" s="20">
        <v>6713020</v>
      </c>
      <c r="N7" s="20">
        <v>6438378</v>
      </c>
      <c r="O7" s="20">
        <v>7077364</v>
      </c>
      <c r="P7" s="20">
        <v>7191922</v>
      </c>
      <c r="Q7" s="20">
        <v>6694687</v>
      </c>
      <c r="S7" s="2" t="s">
        <v>35</v>
      </c>
    </row>
    <row r="8" spans="1:19">
      <c r="A8" s="1"/>
      <c r="B8" s="1" t="s">
        <v>37</v>
      </c>
      <c r="C8" s="1"/>
      <c r="D8" s="1"/>
      <c r="E8" s="1"/>
      <c r="F8" s="20">
        <v>948</v>
      </c>
      <c r="G8" s="20">
        <v>948</v>
      </c>
      <c r="H8" s="20">
        <v>300948</v>
      </c>
      <c r="I8" s="20">
        <v>300948</v>
      </c>
      <c r="J8" s="20">
        <v>300948</v>
      </c>
      <c r="K8" s="20">
        <v>300948</v>
      </c>
      <c r="L8" s="20">
        <v>300948</v>
      </c>
      <c r="M8" s="20">
        <v>300948</v>
      </c>
      <c r="N8" s="20">
        <v>948</v>
      </c>
      <c r="O8" s="20">
        <v>540948</v>
      </c>
      <c r="P8" s="20">
        <v>540948</v>
      </c>
      <c r="Q8" s="20">
        <v>948</v>
      </c>
    </row>
    <row r="9" spans="1:19">
      <c r="C9" s="2" t="s">
        <v>10</v>
      </c>
      <c r="F9" s="22">
        <v>156</v>
      </c>
      <c r="G9" s="22">
        <v>156</v>
      </c>
      <c r="H9" s="22">
        <v>300156</v>
      </c>
      <c r="I9" s="22">
        <v>300156</v>
      </c>
      <c r="J9" s="22">
        <v>300156</v>
      </c>
      <c r="K9" s="22">
        <v>300156</v>
      </c>
      <c r="L9" s="22">
        <v>300156</v>
      </c>
      <c r="M9" s="22">
        <v>300156</v>
      </c>
      <c r="N9" s="22">
        <v>156</v>
      </c>
      <c r="O9" s="22">
        <v>540156</v>
      </c>
      <c r="P9" s="22">
        <v>540156</v>
      </c>
      <c r="Q9" s="22">
        <v>156</v>
      </c>
    </row>
    <row r="10" spans="1:19">
      <c r="D10" s="2" t="s">
        <v>2</v>
      </c>
      <c r="F10" s="24">
        <v>156</v>
      </c>
      <c r="G10" s="24">
        <v>156</v>
      </c>
      <c r="H10" s="24">
        <v>300156</v>
      </c>
      <c r="I10" s="24">
        <v>300156</v>
      </c>
      <c r="J10" s="24">
        <v>300156</v>
      </c>
      <c r="K10" s="24">
        <v>300156</v>
      </c>
      <c r="L10" s="24">
        <v>300156</v>
      </c>
      <c r="M10" s="24">
        <v>300156</v>
      </c>
      <c r="N10" s="24">
        <v>156</v>
      </c>
      <c r="O10" s="24">
        <v>540156</v>
      </c>
      <c r="P10" s="24">
        <v>540156</v>
      </c>
      <c r="Q10" s="24">
        <v>156</v>
      </c>
    </row>
    <row r="11" spans="1:19">
      <c r="E11" s="2" t="s">
        <v>48</v>
      </c>
      <c r="F11" s="24">
        <v>156</v>
      </c>
      <c r="G11" s="24">
        <v>156</v>
      </c>
      <c r="H11" s="24">
        <v>156</v>
      </c>
      <c r="I11" s="24">
        <v>156</v>
      </c>
      <c r="J11" s="24">
        <v>156</v>
      </c>
      <c r="K11" s="24">
        <v>156</v>
      </c>
      <c r="L11" s="24">
        <v>156</v>
      </c>
      <c r="M11" s="24">
        <v>156</v>
      </c>
      <c r="N11" s="24">
        <v>156</v>
      </c>
      <c r="O11" s="24">
        <v>156</v>
      </c>
      <c r="P11" s="24">
        <v>156</v>
      </c>
      <c r="Q11" s="24">
        <v>156</v>
      </c>
    </row>
    <row r="12" spans="1:19">
      <c r="E12" s="2" t="s">
        <v>49</v>
      </c>
      <c r="F12" s="24">
        <v>0</v>
      </c>
      <c r="G12" s="24">
        <v>0</v>
      </c>
      <c r="H12" s="24">
        <v>300000</v>
      </c>
      <c r="I12" s="24">
        <v>300000</v>
      </c>
      <c r="J12" s="24">
        <v>300000</v>
      </c>
      <c r="K12" s="24">
        <v>300000</v>
      </c>
      <c r="L12" s="24">
        <v>300000</v>
      </c>
      <c r="M12" s="24">
        <v>300000</v>
      </c>
      <c r="N12" s="24">
        <v>0</v>
      </c>
      <c r="O12" s="24">
        <v>540000</v>
      </c>
      <c r="P12" s="24">
        <v>540000</v>
      </c>
      <c r="Q12" s="2">
        <v>0</v>
      </c>
    </row>
    <row r="13" spans="1:19">
      <c r="D13" s="2" t="s">
        <v>3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</row>
    <row r="14" spans="1:19">
      <c r="C14" s="2" t="s">
        <v>4</v>
      </c>
      <c r="F14" s="22">
        <v>792</v>
      </c>
      <c r="G14" s="22">
        <v>792</v>
      </c>
      <c r="H14" s="22">
        <v>792</v>
      </c>
      <c r="I14" s="22">
        <v>792</v>
      </c>
      <c r="J14" s="22">
        <v>792</v>
      </c>
      <c r="K14" s="22">
        <v>792</v>
      </c>
      <c r="L14" s="22">
        <v>792</v>
      </c>
      <c r="M14" s="22">
        <v>792</v>
      </c>
      <c r="N14" s="22">
        <v>792</v>
      </c>
      <c r="O14" s="22">
        <v>792</v>
      </c>
      <c r="P14" s="22">
        <v>792</v>
      </c>
      <c r="Q14" s="22">
        <v>792</v>
      </c>
    </row>
    <row r="15" spans="1:19">
      <c r="D15" s="2" t="s">
        <v>12</v>
      </c>
      <c r="F15" s="24">
        <v>350</v>
      </c>
      <c r="G15" s="24">
        <v>350</v>
      </c>
      <c r="H15" s="24">
        <v>350</v>
      </c>
      <c r="I15" s="24">
        <v>350</v>
      </c>
      <c r="J15" s="24">
        <v>350</v>
      </c>
      <c r="K15" s="24">
        <v>350</v>
      </c>
      <c r="L15" s="24">
        <v>350</v>
      </c>
      <c r="M15" s="24">
        <v>350</v>
      </c>
      <c r="N15" s="24">
        <v>350</v>
      </c>
      <c r="O15" s="24">
        <v>350</v>
      </c>
      <c r="P15" s="24">
        <v>350</v>
      </c>
      <c r="Q15" s="24">
        <v>350</v>
      </c>
    </row>
    <row r="16" spans="1:19">
      <c r="D16" s="2" t="s">
        <v>13</v>
      </c>
      <c r="F16" s="24">
        <v>442</v>
      </c>
      <c r="G16" s="24">
        <v>442</v>
      </c>
      <c r="H16" s="24">
        <v>442</v>
      </c>
      <c r="I16" s="24">
        <v>442</v>
      </c>
      <c r="J16" s="24">
        <v>442</v>
      </c>
      <c r="K16" s="24">
        <v>442</v>
      </c>
      <c r="L16" s="24">
        <v>442</v>
      </c>
      <c r="M16" s="24">
        <v>442</v>
      </c>
      <c r="N16" s="24">
        <v>442</v>
      </c>
      <c r="O16" s="24">
        <v>442</v>
      </c>
      <c r="P16" s="24">
        <v>442</v>
      </c>
      <c r="Q16" s="24">
        <v>442</v>
      </c>
    </row>
    <row r="17" spans="1:17" hidden="1">
      <c r="D17" s="2" t="s">
        <v>14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</row>
    <row r="18" spans="1:17" hidden="1">
      <c r="D18" s="2" t="s">
        <v>15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</row>
    <row r="19" spans="1:17" ht="8.25" customHeight="1">
      <c r="F19" s="24"/>
    </row>
    <row r="20" spans="1:17" s="1" customFormat="1" ht="15" customHeight="1">
      <c r="B20" s="1" t="s">
        <v>38</v>
      </c>
      <c r="F20" s="27">
        <v>5122817</v>
      </c>
      <c r="G20" s="27">
        <v>5448903</v>
      </c>
      <c r="H20" s="28">
        <v>5511919</v>
      </c>
      <c r="I20" s="28">
        <v>5562569</v>
      </c>
      <c r="J20" s="28">
        <v>5733088</v>
      </c>
      <c r="K20" s="27">
        <v>5889092</v>
      </c>
      <c r="L20" s="27">
        <v>5955541</v>
      </c>
      <c r="M20" s="28">
        <v>6412072</v>
      </c>
      <c r="N20" s="28">
        <v>6437430</v>
      </c>
      <c r="O20" s="27">
        <v>6536416</v>
      </c>
      <c r="P20" s="37">
        <v>6650974</v>
      </c>
      <c r="Q20" s="27">
        <v>6693739</v>
      </c>
    </row>
    <row r="21" spans="1:17">
      <c r="F21" s="24"/>
      <c r="O21" s="24"/>
    </row>
    <row r="22" spans="1:17" ht="15" customHeight="1">
      <c r="A22" s="1" t="s">
        <v>41</v>
      </c>
      <c r="B22" s="1"/>
      <c r="C22" s="1"/>
      <c r="D22" s="1"/>
      <c r="E22" s="1"/>
      <c r="F22" s="20">
        <v>2639581</v>
      </c>
      <c r="G22" s="20">
        <v>2715749</v>
      </c>
      <c r="H22" s="20">
        <v>2664548</v>
      </c>
      <c r="I22" s="20">
        <v>2736790</v>
      </c>
      <c r="J22" s="20">
        <v>2856708</v>
      </c>
      <c r="K22" s="20">
        <v>2864024</v>
      </c>
      <c r="L22" s="20">
        <v>2907660</v>
      </c>
      <c r="M22" s="20">
        <v>2902009</v>
      </c>
      <c r="N22" s="20">
        <v>2930498</v>
      </c>
      <c r="O22" s="20">
        <v>2950325</v>
      </c>
      <c r="P22" s="20">
        <v>2942134</v>
      </c>
      <c r="Q22" s="20">
        <v>3100319</v>
      </c>
    </row>
    <row r="23" spans="1:17">
      <c r="A23" s="1"/>
      <c r="B23" s="1" t="s">
        <v>37</v>
      </c>
      <c r="C23" s="1"/>
      <c r="D23" s="1"/>
      <c r="E23" s="1"/>
      <c r="F23" s="20">
        <v>1052668</v>
      </c>
      <c r="G23" s="20">
        <v>1058900</v>
      </c>
      <c r="H23" s="20">
        <v>1059095</v>
      </c>
      <c r="I23" s="20">
        <v>1140958</v>
      </c>
      <c r="J23" s="20">
        <v>1137656</v>
      </c>
      <c r="K23" s="20">
        <v>1168813</v>
      </c>
      <c r="L23" s="20">
        <v>1225879</v>
      </c>
      <c r="M23" s="20">
        <v>1238187</v>
      </c>
      <c r="N23" s="20">
        <v>1270022</v>
      </c>
      <c r="O23" s="20">
        <v>1290155</v>
      </c>
      <c r="P23" s="20">
        <v>1288139</v>
      </c>
      <c r="Q23" s="20">
        <v>1311888</v>
      </c>
    </row>
    <row r="24" spans="1:17" ht="15.75" customHeight="1">
      <c r="C24" s="2" t="s">
        <v>10</v>
      </c>
      <c r="F24" s="32">
        <v>1052668</v>
      </c>
      <c r="G24" s="32">
        <v>1058900</v>
      </c>
      <c r="H24" s="32">
        <v>1059095</v>
      </c>
      <c r="I24" s="32">
        <v>1140958</v>
      </c>
      <c r="J24" s="32">
        <v>1137656</v>
      </c>
      <c r="K24" s="32">
        <v>1168813</v>
      </c>
      <c r="L24" s="32">
        <v>1225879</v>
      </c>
      <c r="M24" s="32">
        <v>1238187</v>
      </c>
      <c r="N24" s="32">
        <v>1270022</v>
      </c>
      <c r="O24" s="32">
        <v>1290155</v>
      </c>
      <c r="P24" s="32">
        <v>1288139</v>
      </c>
      <c r="Q24" s="32">
        <v>1311888</v>
      </c>
    </row>
    <row r="25" spans="1:17">
      <c r="D25" s="2" t="s">
        <v>2</v>
      </c>
      <c r="F25" s="24">
        <v>1031360</v>
      </c>
      <c r="G25" s="24">
        <v>1037589</v>
      </c>
      <c r="H25" s="25">
        <v>1038255</v>
      </c>
      <c r="I25" s="25">
        <v>1120359</v>
      </c>
      <c r="J25" s="25">
        <v>1117155</v>
      </c>
      <c r="K25" s="24">
        <v>1148893</v>
      </c>
      <c r="L25" s="24">
        <v>1205838</v>
      </c>
      <c r="M25" s="24">
        <v>1218621</v>
      </c>
      <c r="N25" s="24">
        <v>1250808</v>
      </c>
      <c r="O25" s="24">
        <v>1271045</v>
      </c>
      <c r="P25" s="25">
        <v>1269065</v>
      </c>
      <c r="Q25" s="24">
        <v>1292872</v>
      </c>
    </row>
    <row r="26" spans="1:17">
      <c r="D26" s="2" t="s">
        <v>3</v>
      </c>
      <c r="F26" s="24">
        <v>21308</v>
      </c>
      <c r="G26" s="24">
        <v>21311</v>
      </c>
      <c r="H26" s="25">
        <v>20840</v>
      </c>
      <c r="I26" s="25">
        <v>20599</v>
      </c>
      <c r="J26" s="25">
        <v>20501</v>
      </c>
      <c r="K26" s="24">
        <v>19920</v>
      </c>
      <c r="L26" s="24">
        <v>20041</v>
      </c>
      <c r="M26" s="24">
        <v>19566</v>
      </c>
      <c r="N26" s="24">
        <v>19214</v>
      </c>
      <c r="O26" s="24">
        <v>19110</v>
      </c>
      <c r="P26" s="25">
        <v>19074</v>
      </c>
      <c r="Q26" s="24">
        <v>19016</v>
      </c>
    </row>
    <row r="27" spans="1:17">
      <c r="C27" s="2" t="s">
        <v>4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3">
        <v>0</v>
      </c>
      <c r="Q27" s="23">
        <v>0</v>
      </c>
    </row>
    <row r="28" spans="1:17" hidden="1">
      <c r="D28" s="2" t="s">
        <v>12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5">
        <v>0</v>
      </c>
      <c r="Q28" s="25">
        <v>0</v>
      </c>
    </row>
    <row r="29" spans="1:17" hidden="1">
      <c r="D29" s="2" t="s">
        <v>13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5">
        <v>0</v>
      </c>
      <c r="Q29" s="25">
        <v>0</v>
      </c>
    </row>
    <row r="30" spans="1:17" hidden="1">
      <c r="D30" s="2" t="s">
        <v>14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5">
        <v>0</v>
      </c>
      <c r="Q30" s="25">
        <v>0</v>
      </c>
    </row>
    <row r="31" spans="1:17" hidden="1">
      <c r="D31" s="2" t="s">
        <v>15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5">
        <v>0</v>
      </c>
      <c r="Q31" s="25">
        <v>0</v>
      </c>
    </row>
    <row r="32" spans="1:17" hidden="1">
      <c r="D32" s="2" t="s">
        <v>16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5">
        <v>0</v>
      </c>
      <c r="Q32" s="25">
        <v>0</v>
      </c>
    </row>
    <row r="33" spans="1:17" ht="11.25" customHeight="1">
      <c r="F33" s="24"/>
      <c r="K33" s="24"/>
      <c r="O33" s="24"/>
      <c r="P33" s="25"/>
    </row>
    <row r="34" spans="1:17" s="1" customFormat="1">
      <c r="B34" s="1" t="s">
        <v>38</v>
      </c>
      <c r="F34" s="27">
        <v>1586913</v>
      </c>
      <c r="G34" s="27">
        <v>1656849</v>
      </c>
      <c r="H34" s="28">
        <v>1605453</v>
      </c>
      <c r="I34" s="28">
        <v>1595832</v>
      </c>
      <c r="J34" s="28">
        <v>1719052</v>
      </c>
      <c r="K34" s="27">
        <v>1695211</v>
      </c>
      <c r="L34" s="27">
        <v>1681781</v>
      </c>
      <c r="M34" s="27">
        <v>1663822</v>
      </c>
      <c r="N34" s="27">
        <v>1660476</v>
      </c>
      <c r="O34" s="27">
        <v>1660170</v>
      </c>
      <c r="P34" s="28">
        <v>1653995</v>
      </c>
      <c r="Q34" s="27">
        <v>1788431</v>
      </c>
    </row>
    <row r="35" spans="1:17">
      <c r="K35" s="24"/>
    </row>
    <row r="36" spans="1:17" ht="18.75" customHeight="1">
      <c r="C36" s="6" t="s">
        <v>7</v>
      </c>
      <c r="D36" s="6"/>
      <c r="E36" s="6"/>
      <c r="F36" s="7">
        <v>7763346</v>
      </c>
      <c r="G36" s="7">
        <v>8165600</v>
      </c>
      <c r="H36" s="7">
        <v>8477415</v>
      </c>
      <c r="I36" s="7">
        <v>8600307</v>
      </c>
      <c r="J36" s="7">
        <v>8890744</v>
      </c>
      <c r="K36" s="7">
        <v>9054064</v>
      </c>
      <c r="L36" s="7">
        <v>9164149</v>
      </c>
      <c r="M36" s="7">
        <v>9615029</v>
      </c>
      <c r="N36" s="7">
        <v>9368876</v>
      </c>
      <c r="O36" s="7">
        <v>10027689</v>
      </c>
      <c r="P36" s="7">
        <v>10134056</v>
      </c>
      <c r="Q36" s="7">
        <v>9795006</v>
      </c>
    </row>
    <row r="37" spans="1:17">
      <c r="A37" s="8"/>
      <c r="B37" s="9"/>
      <c r="C37" s="9"/>
      <c r="D37" s="9"/>
    </row>
    <row r="38" spans="1:17">
      <c r="A38" s="2" t="s">
        <v>11</v>
      </c>
    </row>
    <row r="39" spans="1:17">
      <c r="A39" s="1"/>
    </row>
    <row r="40" spans="1:17" s="11" customFormat="1">
      <c r="A40" s="10" t="s">
        <v>8</v>
      </c>
      <c r="B40" s="10"/>
      <c r="C40" s="10"/>
      <c r="D40" s="10"/>
      <c r="E40" s="10"/>
      <c r="F40" s="10">
        <v>50.854999999999997</v>
      </c>
      <c r="G40" s="10">
        <v>50.896999999999998</v>
      </c>
      <c r="H40" s="10">
        <v>50.78</v>
      </c>
      <c r="I40" s="11">
        <v>50.444000000000003</v>
      </c>
      <c r="J40" s="10">
        <v>50.585000000000001</v>
      </c>
      <c r="K40" s="10">
        <v>49.79</v>
      </c>
      <c r="L40" s="11">
        <v>49.113999999999997</v>
      </c>
      <c r="M40" s="11">
        <v>48.482999999999997</v>
      </c>
      <c r="N40" s="11">
        <v>48.421999999999997</v>
      </c>
      <c r="O40" s="11">
        <v>48.396000000000001</v>
      </c>
      <c r="P40" s="11">
        <v>48.085000000000001</v>
      </c>
      <c r="Q40" s="11">
        <v>48.021000000000001</v>
      </c>
    </row>
    <row r="41" spans="1:17" s="11" customFormat="1">
      <c r="A41" s="10"/>
      <c r="B41" s="10"/>
      <c r="C41" s="10"/>
      <c r="D41" s="10"/>
      <c r="E41" s="10"/>
    </row>
    <row r="42" spans="1:17" s="11" customFormat="1">
      <c r="A42" s="10"/>
      <c r="B42" s="10"/>
      <c r="C42" s="10"/>
      <c r="D42" s="10"/>
      <c r="E42" s="10"/>
    </row>
    <row r="43" spans="1:17">
      <c r="A43" s="11" t="s">
        <v>22</v>
      </c>
    </row>
    <row r="44" spans="1:17">
      <c r="A44" s="11"/>
    </row>
    <row r="45" spans="1:17">
      <c r="A45" s="185">
        <v>44221</v>
      </c>
      <c r="B45" s="185"/>
      <c r="C45" s="185"/>
      <c r="D45" s="185"/>
      <c r="E45" s="185"/>
      <c r="F45" s="185"/>
    </row>
    <row r="46" spans="1:17">
      <c r="E46" s="11"/>
    </row>
    <row r="47" spans="1:17">
      <c r="A47" s="12"/>
      <c r="E47" s="11"/>
    </row>
    <row r="48" spans="1:17">
      <c r="A48" s="12"/>
      <c r="E48" s="11"/>
    </row>
    <row r="49" spans="1:5">
      <c r="A49" s="12"/>
      <c r="E49" s="11"/>
    </row>
    <row r="50" spans="1:5">
      <c r="A50" s="12"/>
      <c r="E50" s="11"/>
    </row>
    <row r="51" spans="1:5">
      <c r="A51" s="12"/>
      <c r="E51" s="11"/>
    </row>
    <row r="52" spans="1:5">
      <c r="A52" s="12"/>
      <c r="E52" s="11"/>
    </row>
    <row r="53" spans="1:5">
      <c r="A53" s="12"/>
      <c r="E53" s="11"/>
    </row>
    <row r="54" spans="1:5">
      <c r="A54" s="12"/>
      <c r="E54" s="11"/>
    </row>
    <row r="55" spans="1:5">
      <c r="A55" s="12"/>
      <c r="E55" s="11"/>
    </row>
    <row r="56" spans="1:5">
      <c r="A56" s="12"/>
      <c r="E56" s="11"/>
    </row>
    <row r="57" spans="1:5">
      <c r="A57" s="12"/>
      <c r="E57" s="11"/>
    </row>
    <row r="58" spans="1:5">
      <c r="A58" s="12"/>
      <c r="E58" s="11"/>
    </row>
    <row r="59" spans="1:5">
      <c r="A59" s="12"/>
      <c r="E59" s="11"/>
    </row>
    <row r="60" spans="1:5">
      <c r="A60" s="12"/>
      <c r="E60" s="11"/>
    </row>
  </sheetData>
  <mergeCells count="2">
    <mergeCell ref="A5:E5"/>
    <mergeCell ref="A45:F45"/>
  </mergeCells>
  <printOptions horizontalCentered="1"/>
  <pageMargins left="0.23622047244094491" right="0" top="0.74803149606299213" bottom="0" header="0" footer="0"/>
  <pageSetup paperSize="9"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D24D-C752-4815-99D1-F65E41722865}">
  <sheetPr>
    <pageSetUpPr fitToPage="1"/>
  </sheetPr>
  <dimension ref="A1:GP103"/>
  <sheetViews>
    <sheetView topLeftCell="A61" zoomScale="96" zoomScaleNormal="96" workbookViewId="0">
      <pane xSplit="5" ySplit="7" topLeftCell="F68" activePane="bottomRight" state="frozen"/>
      <selection activeCell="M88" sqref="M88"/>
      <selection pane="topRight" activeCell="M88" sqref="M88"/>
      <selection pane="bottomLeft" activeCell="M88" sqref="M88"/>
      <selection pane="bottomRight" activeCell="K71" sqref="K71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8.85546875" style="2" customWidth="1"/>
    <col min="6" max="17" width="7.28515625" style="2" customWidth="1"/>
    <col min="18" max="16384" width="9.140625" style="2"/>
  </cols>
  <sheetData>
    <row r="1" spans="1:6" hidden="1">
      <c r="A1" s="19" t="s">
        <v>25</v>
      </c>
      <c r="B1" s="19"/>
      <c r="C1" s="19"/>
      <c r="D1" s="19"/>
      <c r="E1" s="19"/>
      <c r="F1" s="19"/>
    </row>
    <row r="2" spans="1:6" hidden="1">
      <c r="A2" s="180" t="s">
        <v>174</v>
      </c>
      <c r="B2" s="180"/>
      <c r="C2" s="180"/>
      <c r="D2" s="180"/>
      <c r="E2" s="180"/>
      <c r="F2" s="180"/>
    </row>
    <row r="3" spans="1:6" hidden="1">
      <c r="A3" s="181" t="s">
        <v>0</v>
      </c>
      <c r="B3" s="181"/>
      <c r="C3" s="181"/>
      <c r="D3" s="181"/>
      <c r="E3" s="181"/>
      <c r="F3" s="181"/>
    </row>
    <row r="4" spans="1:6" hidden="1">
      <c r="A4" s="4"/>
    </row>
    <row r="5" spans="1:6" hidden="1">
      <c r="A5" s="4"/>
    </row>
    <row r="6" spans="1:6" ht="16.5" hidden="1" customHeight="1">
      <c r="A6" s="182" t="s">
        <v>1</v>
      </c>
      <c r="B6" s="183"/>
      <c r="C6" s="183"/>
      <c r="D6" s="183"/>
      <c r="E6" s="183"/>
      <c r="F6" s="74" t="s">
        <v>5</v>
      </c>
    </row>
    <row r="7" spans="1:6" ht="16.5" hidden="1" customHeight="1">
      <c r="A7" s="46"/>
      <c r="B7" s="46"/>
      <c r="C7" s="46"/>
      <c r="D7" s="46"/>
      <c r="E7" s="46"/>
      <c r="F7" s="47"/>
    </row>
    <row r="8" spans="1:6" ht="14.25" hidden="1" customHeight="1">
      <c r="A8" s="1" t="s">
        <v>6</v>
      </c>
      <c r="B8" s="1"/>
      <c r="C8" s="1"/>
      <c r="D8" s="1"/>
      <c r="E8" s="1"/>
      <c r="F8" s="13">
        <f>+F10+F15</f>
        <v>3620441</v>
      </c>
    </row>
    <row r="9" spans="1:6" hidden="1">
      <c r="A9" s="1"/>
      <c r="B9" s="1"/>
      <c r="C9" s="1"/>
      <c r="D9" s="1"/>
      <c r="E9" s="1"/>
      <c r="F9" s="13"/>
    </row>
    <row r="10" spans="1:6" hidden="1">
      <c r="B10" s="2" t="s">
        <v>9</v>
      </c>
      <c r="F10" s="14">
        <f>+F11+F12+F13</f>
        <v>3619999</v>
      </c>
    </row>
    <row r="11" spans="1:6" ht="15" hidden="1" customHeight="1">
      <c r="C11" s="2" t="s">
        <v>169</v>
      </c>
      <c r="F11" s="15">
        <v>3619843</v>
      </c>
    </row>
    <row r="12" spans="1:6" hidden="1">
      <c r="C12" s="2" t="s">
        <v>2</v>
      </c>
      <c r="F12" s="15">
        <v>156</v>
      </c>
    </row>
    <row r="13" spans="1:6" hidden="1">
      <c r="C13" s="2" t="s">
        <v>3</v>
      </c>
      <c r="F13" s="15">
        <v>0</v>
      </c>
    </row>
    <row r="14" spans="1:6" ht="8.25" hidden="1" customHeight="1">
      <c r="F14" s="15"/>
    </row>
    <row r="15" spans="1:6" hidden="1">
      <c r="B15" s="2" t="s">
        <v>4</v>
      </c>
      <c r="F15" s="14">
        <f>SUM(F16:F19)</f>
        <v>442</v>
      </c>
    </row>
    <row r="16" spans="1:6" hidden="1">
      <c r="C16" s="2" t="s">
        <v>12</v>
      </c>
      <c r="F16" s="15">
        <v>0</v>
      </c>
    </row>
    <row r="17" spans="1:6" hidden="1">
      <c r="C17" s="2" t="s">
        <v>13</v>
      </c>
      <c r="F17" s="15">
        <v>442</v>
      </c>
    </row>
    <row r="18" spans="1:6" hidden="1">
      <c r="C18" s="2" t="s">
        <v>14</v>
      </c>
      <c r="F18" s="15">
        <v>0</v>
      </c>
    </row>
    <row r="19" spans="1:6" hidden="1">
      <c r="C19" s="2" t="s">
        <v>15</v>
      </c>
      <c r="F19" s="15">
        <v>0</v>
      </c>
    </row>
    <row r="20" spans="1:6" hidden="1">
      <c r="F20" s="15"/>
    </row>
    <row r="21" spans="1:6" ht="15" hidden="1" customHeight="1">
      <c r="A21" s="1" t="s">
        <v>170</v>
      </c>
      <c r="B21" s="1"/>
      <c r="C21" s="1"/>
      <c r="D21" s="1"/>
      <c r="E21" s="1"/>
      <c r="F21" s="13">
        <f>+F22+F26+F33</f>
        <v>1973306</v>
      </c>
    </row>
    <row r="22" spans="1:6" ht="15.75" hidden="1" customHeight="1">
      <c r="B22" s="2" t="s">
        <v>10</v>
      </c>
      <c r="F22" s="14">
        <f>+F23+F24</f>
        <v>719517</v>
      </c>
    </row>
    <row r="23" spans="1:6" hidden="1">
      <c r="C23" s="2" t="s">
        <v>2</v>
      </c>
      <c r="F23" s="15">
        <v>679732</v>
      </c>
    </row>
    <row r="24" spans="1:6" hidden="1">
      <c r="C24" s="2" t="s">
        <v>3</v>
      </c>
      <c r="F24" s="15">
        <v>39785</v>
      </c>
    </row>
    <row r="25" spans="1:6" ht="9" hidden="1" customHeight="1">
      <c r="F25" s="14"/>
    </row>
    <row r="26" spans="1:6" hidden="1">
      <c r="B26" s="2" t="s">
        <v>4</v>
      </c>
      <c r="F26" s="14">
        <f>SUM(F27:F31)</f>
        <v>0</v>
      </c>
    </row>
    <row r="27" spans="1:6" hidden="1">
      <c r="D27" s="2" t="s">
        <v>12</v>
      </c>
      <c r="F27" s="15">
        <v>0</v>
      </c>
    </row>
    <row r="28" spans="1:6" hidden="1">
      <c r="D28" s="2" t="s">
        <v>13</v>
      </c>
      <c r="F28" s="15">
        <v>0</v>
      </c>
    </row>
    <row r="29" spans="1:6" hidden="1">
      <c r="D29" s="2" t="s">
        <v>14</v>
      </c>
      <c r="F29" s="15">
        <v>0</v>
      </c>
    </row>
    <row r="30" spans="1:6" hidden="1">
      <c r="D30" s="2" t="s">
        <v>15</v>
      </c>
      <c r="F30" s="15">
        <v>0</v>
      </c>
    </row>
    <row r="31" spans="1:6" hidden="1">
      <c r="D31" s="2" t="s">
        <v>16</v>
      </c>
      <c r="F31" s="15">
        <v>0</v>
      </c>
    </row>
    <row r="32" spans="1:6" ht="11.25" hidden="1" customHeight="1">
      <c r="F32" s="15"/>
    </row>
    <row r="33" spans="1:198" hidden="1">
      <c r="B33" s="2" t="s">
        <v>173</v>
      </c>
      <c r="F33" s="15">
        <v>1253789</v>
      </c>
    </row>
    <row r="34" spans="1:198" hidden="1">
      <c r="GP34" s="2">
        <v>0</v>
      </c>
    </row>
    <row r="35" spans="1:198" hidden="1"/>
    <row r="36" spans="1:198" hidden="1">
      <c r="C36" s="1" t="s">
        <v>7</v>
      </c>
      <c r="D36" s="1"/>
      <c r="E36" s="1"/>
      <c r="F36" s="41">
        <f>+F8+F21+1</f>
        <v>5593748</v>
      </c>
    </row>
    <row r="37" spans="1:198" hidden="1">
      <c r="A37" s="8"/>
      <c r="B37" s="9"/>
      <c r="C37" s="9"/>
      <c r="D37" s="9"/>
    </row>
    <row r="38" spans="1:198" hidden="1">
      <c r="A38" s="2" t="s">
        <v>11</v>
      </c>
    </row>
    <row r="39" spans="1:198" hidden="1">
      <c r="A39" s="1"/>
    </row>
    <row r="40" spans="1:198" s="11" customFormat="1" hidden="1">
      <c r="A40" s="10" t="s">
        <v>8</v>
      </c>
      <c r="B40" s="10"/>
      <c r="C40" s="10"/>
      <c r="D40" s="10"/>
      <c r="E40" s="10"/>
      <c r="F40" s="71">
        <v>45.2</v>
      </c>
    </row>
    <row r="41" spans="1:198" s="11" customFormat="1" hidden="1">
      <c r="A41" s="10"/>
      <c r="B41" s="10"/>
      <c r="C41" s="10"/>
      <c r="D41" s="10"/>
      <c r="E41" s="10"/>
    </row>
    <row r="42" spans="1:198" s="11" customFormat="1" hidden="1">
      <c r="A42" s="10"/>
      <c r="B42" s="10"/>
      <c r="C42" s="10"/>
      <c r="D42" s="10"/>
      <c r="E42" s="10"/>
    </row>
    <row r="43" spans="1:198" hidden="1">
      <c r="A43" s="11" t="s">
        <v>22</v>
      </c>
    </row>
    <row r="44" spans="1:198" hidden="1">
      <c r="A44" s="11"/>
    </row>
    <row r="45" spans="1:198" hidden="1">
      <c r="A45" s="48"/>
      <c r="E45" s="11"/>
    </row>
    <row r="46" spans="1:198" hidden="1">
      <c r="A46" s="12"/>
      <c r="E46" s="11"/>
    </row>
    <row r="47" spans="1:198" hidden="1">
      <c r="A47" s="12"/>
      <c r="E47" s="11"/>
    </row>
    <row r="48" spans="1:198" hidden="1">
      <c r="A48" s="12"/>
      <c r="E48" s="11"/>
    </row>
    <row r="49" spans="1:6" hidden="1">
      <c r="A49" s="12"/>
      <c r="E49" s="11"/>
    </row>
    <row r="50" spans="1:6" hidden="1">
      <c r="A50" s="12"/>
      <c r="E50" s="11"/>
    </row>
    <row r="51" spans="1:6" hidden="1">
      <c r="A51" s="12"/>
      <c r="E51" s="11"/>
    </row>
    <row r="52" spans="1:6" hidden="1">
      <c r="A52" s="12"/>
      <c r="E52" s="11"/>
    </row>
    <row r="53" spans="1:6" hidden="1">
      <c r="A53" s="12"/>
      <c r="E53" s="11"/>
    </row>
    <row r="54" spans="1:6" hidden="1">
      <c r="A54" s="12"/>
      <c r="E54" s="11"/>
    </row>
    <row r="55" spans="1:6" hidden="1">
      <c r="A55" s="12"/>
      <c r="E55" s="11"/>
    </row>
    <row r="56" spans="1:6" hidden="1">
      <c r="A56" s="12"/>
      <c r="E56" s="11"/>
    </row>
    <row r="57" spans="1:6" hidden="1">
      <c r="A57" s="12"/>
      <c r="E57" s="11"/>
    </row>
    <row r="58" spans="1:6" hidden="1">
      <c r="A58" s="12"/>
      <c r="E58" s="11"/>
    </row>
    <row r="59" spans="1:6" hidden="1">
      <c r="A59" s="12"/>
      <c r="E59" s="11"/>
    </row>
    <row r="60" spans="1:6" hidden="1">
      <c r="A60" s="12"/>
      <c r="E60" s="11"/>
    </row>
    <row r="61" spans="1:6">
      <c r="A61" s="19" t="s">
        <v>138</v>
      </c>
      <c r="B61" s="19"/>
      <c r="C61" s="19"/>
      <c r="D61" s="19"/>
      <c r="E61" s="19"/>
      <c r="F61" s="19"/>
    </row>
    <row r="62" spans="1:6">
      <c r="A62" s="19" t="str">
        <f>'[4]2020'!A2</f>
        <v>As of December 2020</v>
      </c>
      <c r="B62" s="19"/>
      <c r="C62" s="19"/>
      <c r="D62" s="19"/>
      <c r="E62" s="19"/>
      <c r="F62" s="19"/>
    </row>
    <row r="63" spans="1:6">
      <c r="A63" s="4" t="s">
        <v>0</v>
      </c>
      <c r="B63" s="4"/>
      <c r="C63" s="4"/>
      <c r="D63" s="4"/>
      <c r="E63" s="4"/>
      <c r="F63" s="4"/>
    </row>
    <row r="64" spans="1:6" ht="8.25" customHeight="1">
      <c r="A64" s="73"/>
      <c r="B64" s="73"/>
      <c r="C64" s="73"/>
      <c r="D64" s="73"/>
      <c r="E64" s="73"/>
      <c r="F64" s="73"/>
    </row>
    <row r="65" spans="1:17" ht="18" customHeight="1">
      <c r="A65" s="184" t="s">
        <v>1</v>
      </c>
      <c r="B65" s="184"/>
      <c r="C65" s="184"/>
      <c r="D65" s="184"/>
      <c r="E65" s="184"/>
      <c r="F65" s="161" t="s">
        <v>5</v>
      </c>
      <c r="G65" s="161" t="s">
        <v>23</v>
      </c>
      <c r="H65" s="161" t="s">
        <v>24</v>
      </c>
      <c r="I65" s="161" t="s">
        <v>26</v>
      </c>
      <c r="J65" s="161" t="s">
        <v>27</v>
      </c>
      <c r="K65" s="161" t="s">
        <v>36</v>
      </c>
      <c r="L65" s="161" t="s">
        <v>28</v>
      </c>
      <c r="M65" s="161" t="s">
        <v>29</v>
      </c>
      <c r="N65" s="161" t="s">
        <v>30</v>
      </c>
      <c r="O65" s="161" t="s">
        <v>31</v>
      </c>
      <c r="P65" s="161" t="s">
        <v>32</v>
      </c>
      <c r="Q65" s="161" t="s">
        <v>33</v>
      </c>
    </row>
    <row r="66" spans="1:17" ht="9" customHeight="1"/>
    <row r="67" spans="1:17" ht="17.25" customHeight="1">
      <c r="A67" s="6" t="s">
        <v>17</v>
      </c>
      <c r="B67" s="6"/>
      <c r="C67" s="6"/>
      <c r="D67" s="6"/>
      <c r="E67" s="6"/>
      <c r="F67" s="155">
        <f t="shared" ref="F67:Q67" si="0">+F69+F76</f>
        <v>488294</v>
      </c>
      <c r="G67" s="157">
        <f t="shared" si="0"/>
        <v>484355</v>
      </c>
      <c r="H67" s="157">
        <f t="shared" si="0"/>
        <v>481821</v>
      </c>
      <c r="I67" s="157">
        <f t="shared" si="0"/>
        <v>477682</v>
      </c>
      <c r="J67" s="157">
        <f t="shared" si="0"/>
        <v>465877</v>
      </c>
      <c r="K67" s="157">
        <f t="shared" si="0"/>
        <v>460008</v>
      </c>
      <c r="L67" s="157">
        <f t="shared" si="0"/>
        <v>458831</v>
      </c>
      <c r="M67" s="157">
        <f t="shared" si="0"/>
        <v>446997</v>
      </c>
      <c r="N67" s="157">
        <f t="shared" si="0"/>
        <v>445398</v>
      </c>
      <c r="O67" s="157">
        <f t="shared" si="0"/>
        <v>447848</v>
      </c>
      <c r="P67" s="157">
        <f t="shared" si="0"/>
        <v>442825</v>
      </c>
      <c r="Q67" s="157">
        <f t="shared" si="0"/>
        <v>458348</v>
      </c>
    </row>
    <row r="68" spans="1:17">
      <c r="A68" s="1"/>
      <c r="B68" s="1"/>
      <c r="C68" s="1"/>
      <c r="D68" s="1"/>
      <c r="E68" s="1"/>
      <c r="F68" s="20"/>
      <c r="G68" s="25"/>
      <c r="H68" s="25"/>
    </row>
    <row r="69" spans="1:17">
      <c r="A69" s="1"/>
      <c r="B69" s="1" t="s">
        <v>18</v>
      </c>
      <c r="C69" s="1"/>
      <c r="D69" s="1"/>
      <c r="E69" s="1"/>
      <c r="F69" s="20">
        <f t="shared" ref="F69:Q69" si="1">+F71+F72</f>
        <v>260301</v>
      </c>
      <c r="G69" s="21">
        <f t="shared" si="1"/>
        <v>254996</v>
      </c>
      <c r="H69" s="21">
        <f t="shared" si="1"/>
        <v>254832</v>
      </c>
      <c r="I69" s="21">
        <f t="shared" si="1"/>
        <v>251592</v>
      </c>
      <c r="J69" s="21">
        <f t="shared" si="1"/>
        <v>240800</v>
      </c>
      <c r="K69" s="21">
        <f t="shared" si="1"/>
        <v>237748</v>
      </c>
      <c r="L69" s="21">
        <f t="shared" si="1"/>
        <v>237423</v>
      </c>
      <c r="M69" s="21">
        <f t="shared" si="1"/>
        <v>228827</v>
      </c>
      <c r="N69" s="21">
        <f t="shared" si="1"/>
        <v>228673</v>
      </c>
      <c r="O69" s="21">
        <f t="shared" si="1"/>
        <v>230499</v>
      </c>
      <c r="P69" s="21">
        <f t="shared" si="1"/>
        <v>226903</v>
      </c>
      <c r="Q69" s="21">
        <f t="shared" si="1"/>
        <v>254423</v>
      </c>
    </row>
    <row r="70" spans="1:17" ht="9.75" customHeight="1">
      <c r="A70" s="1"/>
      <c r="B70" s="1"/>
      <c r="C70" s="1"/>
      <c r="D70" s="1"/>
      <c r="E70" s="1"/>
      <c r="F70" s="20"/>
      <c r="G70" s="25"/>
      <c r="H70" s="25"/>
    </row>
    <row r="71" spans="1:17">
      <c r="C71" s="2" t="s">
        <v>167</v>
      </c>
      <c r="F71" s="24">
        <v>260165</v>
      </c>
      <c r="G71" s="25">
        <v>254860</v>
      </c>
      <c r="H71" s="25">
        <v>254696</v>
      </c>
      <c r="I71" s="25">
        <v>251456</v>
      </c>
      <c r="J71" s="25">
        <v>240664</v>
      </c>
      <c r="K71" s="25">
        <v>237612</v>
      </c>
      <c r="L71" s="24">
        <v>237287</v>
      </c>
      <c r="M71" s="25">
        <v>228691</v>
      </c>
      <c r="N71" s="25">
        <v>228537</v>
      </c>
      <c r="O71" s="24">
        <v>230363</v>
      </c>
      <c r="P71" s="25">
        <v>226767</v>
      </c>
      <c r="Q71" s="24">
        <v>254287</v>
      </c>
    </row>
    <row r="72" spans="1:17">
      <c r="C72" s="2" t="s">
        <v>19</v>
      </c>
      <c r="F72" s="22">
        <f t="shared" ref="F72:Q72" si="2">+F73+F74</f>
        <v>136</v>
      </c>
      <c r="G72" s="23">
        <f t="shared" si="2"/>
        <v>136</v>
      </c>
      <c r="H72" s="23">
        <f t="shared" si="2"/>
        <v>136</v>
      </c>
      <c r="I72" s="23">
        <f t="shared" si="2"/>
        <v>136</v>
      </c>
      <c r="J72" s="23">
        <f t="shared" si="2"/>
        <v>136</v>
      </c>
      <c r="K72" s="23">
        <f t="shared" si="2"/>
        <v>136</v>
      </c>
      <c r="L72" s="23">
        <f t="shared" si="2"/>
        <v>136</v>
      </c>
      <c r="M72" s="23">
        <f t="shared" si="2"/>
        <v>136</v>
      </c>
      <c r="N72" s="23">
        <f t="shared" si="2"/>
        <v>136</v>
      </c>
      <c r="O72" s="23">
        <f t="shared" si="2"/>
        <v>136</v>
      </c>
      <c r="P72" s="23">
        <f t="shared" si="2"/>
        <v>136</v>
      </c>
      <c r="Q72" s="23">
        <f t="shared" si="2"/>
        <v>136</v>
      </c>
    </row>
    <row r="73" spans="1:17">
      <c r="D73" s="2" t="s">
        <v>20</v>
      </c>
      <c r="F73" s="24">
        <v>37</v>
      </c>
      <c r="G73" s="25">
        <v>37</v>
      </c>
      <c r="H73" s="25">
        <v>37</v>
      </c>
      <c r="I73" s="25">
        <v>37</v>
      </c>
      <c r="J73" s="25">
        <v>37</v>
      </c>
      <c r="K73" s="25">
        <v>37</v>
      </c>
      <c r="L73" s="25">
        <v>37</v>
      </c>
      <c r="M73" s="25">
        <v>37</v>
      </c>
      <c r="N73" s="25">
        <v>37</v>
      </c>
      <c r="O73" s="25">
        <v>37</v>
      </c>
      <c r="P73" s="25">
        <v>37</v>
      </c>
      <c r="Q73" s="25">
        <v>37</v>
      </c>
    </row>
    <row r="74" spans="1:17">
      <c r="D74" s="2" t="s">
        <v>15</v>
      </c>
      <c r="F74" s="24">
        <v>99</v>
      </c>
      <c r="G74" s="25">
        <v>99</v>
      </c>
      <c r="H74" s="25">
        <v>99</v>
      </c>
      <c r="I74" s="25">
        <v>99</v>
      </c>
      <c r="J74" s="25">
        <v>99</v>
      </c>
      <c r="K74" s="25">
        <v>99</v>
      </c>
      <c r="L74" s="25">
        <v>99</v>
      </c>
      <c r="M74" s="25">
        <v>99</v>
      </c>
      <c r="N74" s="25">
        <v>99</v>
      </c>
      <c r="O74" s="25">
        <v>99</v>
      </c>
      <c r="P74" s="25">
        <v>99</v>
      </c>
      <c r="Q74" s="25">
        <v>99</v>
      </c>
    </row>
    <row r="75" spans="1:17">
      <c r="F75" s="24"/>
      <c r="G75" s="25"/>
      <c r="H75" s="25"/>
      <c r="I75" s="25"/>
      <c r="J75" s="25"/>
      <c r="K75" s="25"/>
      <c r="L75" s="25"/>
      <c r="M75" s="25"/>
      <c r="N75" s="25"/>
    </row>
    <row r="76" spans="1:17">
      <c r="A76" s="1"/>
      <c r="B76" s="1" t="s">
        <v>168</v>
      </c>
      <c r="C76" s="1"/>
      <c r="D76" s="1"/>
      <c r="E76" s="1"/>
      <c r="F76" s="20">
        <f t="shared" ref="F76:Q76" si="3">+F78+F79</f>
        <v>227993</v>
      </c>
      <c r="G76" s="21">
        <f t="shared" si="3"/>
        <v>229359</v>
      </c>
      <c r="H76" s="21">
        <f t="shared" si="3"/>
        <v>226989</v>
      </c>
      <c r="I76" s="21">
        <f t="shared" si="3"/>
        <v>226090</v>
      </c>
      <c r="J76" s="21">
        <f t="shared" si="3"/>
        <v>225077</v>
      </c>
      <c r="K76" s="21">
        <f t="shared" si="3"/>
        <v>222260</v>
      </c>
      <c r="L76" s="21">
        <f t="shared" si="3"/>
        <v>221408</v>
      </c>
      <c r="M76" s="21">
        <f t="shared" si="3"/>
        <v>218170</v>
      </c>
      <c r="N76" s="21">
        <f t="shared" si="3"/>
        <v>216725</v>
      </c>
      <c r="O76" s="21">
        <f t="shared" si="3"/>
        <v>217349</v>
      </c>
      <c r="P76" s="21">
        <f t="shared" si="3"/>
        <v>215922</v>
      </c>
      <c r="Q76" s="21">
        <f t="shared" si="3"/>
        <v>203925</v>
      </c>
    </row>
    <row r="77" spans="1:17" ht="8.25" customHeight="1">
      <c r="A77" s="1"/>
      <c r="B77" s="1"/>
      <c r="C77" s="1"/>
      <c r="D77" s="1"/>
      <c r="E77" s="1"/>
      <c r="F77" s="20"/>
      <c r="G77" s="25"/>
      <c r="H77" s="25"/>
    </row>
    <row r="78" spans="1:17">
      <c r="C78" s="2" t="s">
        <v>167</v>
      </c>
      <c r="F78" s="24">
        <v>223644</v>
      </c>
      <c r="G78" s="25">
        <v>225007</v>
      </c>
      <c r="H78" s="25">
        <v>222648</v>
      </c>
      <c r="I78" s="25">
        <v>221777</v>
      </c>
      <c r="J78" s="25">
        <v>220751</v>
      </c>
      <c r="K78" s="25">
        <v>218002</v>
      </c>
      <c r="L78" s="24">
        <v>217207</v>
      </c>
      <c r="M78" s="25">
        <v>214022</v>
      </c>
      <c r="N78" s="25">
        <v>212583</v>
      </c>
      <c r="O78" s="24">
        <v>213209</v>
      </c>
      <c r="P78" s="25">
        <v>211808</v>
      </c>
      <c r="Q78" s="24">
        <v>199816</v>
      </c>
    </row>
    <row r="79" spans="1:17">
      <c r="C79" s="2" t="s">
        <v>19</v>
      </c>
      <c r="F79" s="22">
        <f t="shared" ref="F79:I79" si="4">SUM(F80:F83)</f>
        <v>4349</v>
      </c>
      <c r="G79" s="23">
        <f t="shared" si="4"/>
        <v>4352</v>
      </c>
      <c r="H79" s="23">
        <f t="shared" si="4"/>
        <v>4341</v>
      </c>
      <c r="I79" s="23">
        <f t="shared" si="4"/>
        <v>4313</v>
      </c>
      <c r="J79" s="23">
        <f t="shared" ref="J79:Q79" si="5">SUM(J80:J83)</f>
        <v>4326</v>
      </c>
      <c r="K79" s="23">
        <f t="shared" si="5"/>
        <v>4258</v>
      </c>
      <c r="L79" s="23">
        <f t="shared" si="5"/>
        <v>4201</v>
      </c>
      <c r="M79" s="23">
        <f t="shared" si="5"/>
        <v>4148</v>
      </c>
      <c r="N79" s="23">
        <f t="shared" si="5"/>
        <v>4142</v>
      </c>
      <c r="O79" s="23">
        <f t="shared" si="5"/>
        <v>4140</v>
      </c>
      <c r="P79" s="23">
        <f t="shared" si="5"/>
        <v>4114</v>
      </c>
      <c r="Q79" s="23">
        <f t="shared" si="5"/>
        <v>4109</v>
      </c>
    </row>
    <row r="80" spans="1:17">
      <c r="D80" s="2" t="s">
        <v>12</v>
      </c>
      <c r="F80" s="24">
        <v>4309</v>
      </c>
      <c r="G80" s="25">
        <v>4312</v>
      </c>
      <c r="H80" s="25">
        <v>4301</v>
      </c>
      <c r="I80" s="25">
        <v>4273</v>
      </c>
      <c r="J80" s="25">
        <v>4286</v>
      </c>
      <c r="K80" s="25">
        <v>4219</v>
      </c>
      <c r="L80" s="25">
        <v>4162</v>
      </c>
      <c r="M80" s="25">
        <v>4110</v>
      </c>
      <c r="N80" s="25">
        <v>4104</v>
      </c>
      <c r="O80" s="24">
        <v>4102</v>
      </c>
      <c r="P80" s="25">
        <v>4076</v>
      </c>
      <c r="Q80" s="2">
        <v>4071</v>
      </c>
    </row>
    <row r="81" spans="1:17" hidden="1">
      <c r="D81" s="2" t="s">
        <v>13</v>
      </c>
      <c r="F81" s="24">
        <v>0</v>
      </c>
      <c r="G81" s="25"/>
      <c r="H81" s="25"/>
      <c r="I81" s="25"/>
      <c r="J81" s="25"/>
      <c r="K81" s="25"/>
      <c r="P81" s="25"/>
    </row>
    <row r="82" spans="1:17">
      <c r="D82" s="2" t="s">
        <v>21</v>
      </c>
      <c r="F82" s="24">
        <v>40</v>
      </c>
      <c r="G82" s="25">
        <v>40</v>
      </c>
      <c r="H82" s="25">
        <v>40</v>
      </c>
      <c r="I82" s="25">
        <v>40</v>
      </c>
      <c r="J82" s="25">
        <v>40</v>
      </c>
      <c r="K82" s="25">
        <v>39</v>
      </c>
      <c r="L82" s="2">
        <v>39</v>
      </c>
      <c r="M82" s="2">
        <v>38</v>
      </c>
      <c r="N82" s="2">
        <v>38</v>
      </c>
      <c r="O82" s="2">
        <v>38</v>
      </c>
      <c r="P82" s="25">
        <v>38</v>
      </c>
      <c r="Q82" s="2">
        <v>38</v>
      </c>
    </row>
    <row r="83" spans="1:17" hidden="1">
      <c r="D83" s="2" t="s">
        <v>15</v>
      </c>
      <c r="F83" s="24">
        <v>0</v>
      </c>
    </row>
    <row r="86" spans="1:17">
      <c r="A86" s="8"/>
      <c r="B86" s="9"/>
      <c r="C86" s="9"/>
      <c r="D86" s="9"/>
    </row>
    <row r="87" spans="1:17">
      <c r="A87" s="2" t="s">
        <v>11</v>
      </c>
    </row>
    <row r="89" spans="1:17" hidden="1">
      <c r="A89" s="8"/>
      <c r="B89" s="9"/>
      <c r="C89" s="9"/>
      <c r="D89" s="9"/>
    </row>
    <row r="90" spans="1:17" hidden="1">
      <c r="A90" s="2" t="s">
        <v>11</v>
      </c>
    </row>
    <row r="91" spans="1:17" hidden="1"/>
    <row r="92" spans="1:17" hidden="1"/>
    <row r="93" spans="1:17" hidden="1"/>
    <row r="94" spans="1:17" hidden="1"/>
    <row r="95" spans="1:17" hidden="1"/>
    <row r="96" spans="1:17" hidden="1"/>
    <row r="97" spans="1:6" hidden="1"/>
    <row r="98" spans="1:6" hidden="1"/>
    <row r="99" spans="1:6" hidden="1"/>
    <row r="100" spans="1:6" hidden="1"/>
    <row r="101" spans="1:6" hidden="1"/>
    <row r="102" spans="1:6" hidden="1"/>
    <row r="103" spans="1:6">
      <c r="A103" s="185">
        <v>44221</v>
      </c>
      <c r="B103" s="185"/>
      <c r="C103" s="185"/>
      <c r="D103" s="185"/>
      <c r="E103" s="185"/>
      <c r="F103" s="185"/>
    </row>
  </sheetData>
  <mergeCells count="5">
    <mergeCell ref="A2:F2"/>
    <mergeCell ref="A3:F3"/>
    <mergeCell ref="A6:E6"/>
    <mergeCell ref="A65:E65"/>
    <mergeCell ref="A103:F103"/>
  </mergeCells>
  <printOptions horizontalCentered="1"/>
  <pageMargins left="0.23622047244094491" right="0" top="0.74803149606299213" bottom="0" header="0" footer="0"/>
  <pageSetup paperSize="9" scale="9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Q58"/>
  <sheetViews>
    <sheetView zoomScaleNormal="100" workbookViewId="0">
      <selection activeCell="A5" sqref="A5:Q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5.5703125" style="2" customWidth="1"/>
    <col min="6" max="17" width="10.140625" style="2" bestFit="1" customWidth="1"/>
    <col min="18" max="16384" width="9.140625" style="2"/>
  </cols>
  <sheetData>
    <row r="1" spans="1:17">
      <c r="A1" s="19" t="s">
        <v>25</v>
      </c>
      <c r="B1" s="19"/>
      <c r="C1" s="19"/>
      <c r="D1" s="19"/>
      <c r="E1" s="19"/>
      <c r="F1" s="19"/>
    </row>
    <row r="2" spans="1:17">
      <c r="A2" s="19" t="s">
        <v>46</v>
      </c>
      <c r="B2" s="19"/>
      <c r="C2" s="19"/>
      <c r="D2" s="19"/>
      <c r="E2" s="19"/>
      <c r="F2" s="19"/>
    </row>
    <row r="3" spans="1:17">
      <c r="A3" s="4" t="s">
        <v>0</v>
      </c>
      <c r="B3" s="4"/>
      <c r="C3" s="4"/>
      <c r="D3" s="4"/>
      <c r="E3" s="4"/>
      <c r="F3" s="4"/>
    </row>
    <row r="4" spans="1:17" ht="12" customHeight="1">
      <c r="A4" s="4"/>
    </row>
    <row r="5" spans="1:17" ht="18" customHeight="1">
      <c r="A5" s="186" t="s">
        <v>1</v>
      </c>
      <c r="B5" s="187"/>
      <c r="C5" s="187"/>
      <c r="D5" s="187"/>
      <c r="E5" s="187"/>
      <c r="F5" s="163" t="s">
        <v>5</v>
      </c>
      <c r="G5" s="163" t="s">
        <v>23</v>
      </c>
      <c r="H5" s="163" t="s">
        <v>24</v>
      </c>
      <c r="I5" s="163" t="s">
        <v>26</v>
      </c>
      <c r="J5" s="163" t="s">
        <v>27</v>
      </c>
      <c r="K5" s="163" t="s">
        <v>36</v>
      </c>
      <c r="L5" s="163" t="s">
        <v>28</v>
      </c>
      <c r="M5" s="163" t="s">
        <v>29</v>
      </c>
      <c r="N5" s="163" t="s">
        <v>39</v>
      </c>
      <c r="O5" s="163" t="s">
        <v>31</v>
      </c>
      <c r="P5" s="163" t="s">
        <v>32</v>
      </c>
      <c r="Q5" s="164" t="s">
        <v>33</v>
      </c>
    </row>
    <row r="6" spans="1:17" ht="9" customHeight="1">
      <c r="A6" s="5"/>
      <c r="B6" s="5"/>
      <c r="C6" s="5"/>
      <c r="D6" s="5"/>
      <c r="E6" s="5"/>
      <c r="F6" s="5"/>
    </row>
    <row r="7" spans="1:17" ht="14.25" customHeight="1">
      <c r="A7" s="1" t="s">
        <v>6</v>
      </c>
      <c r="B7" s="1"/>
      <c r="C7" s="1"/>
      <c r="D7" s="1"/>
      <c r="E7" s="1"/>
      <c r="F7" s="20">
        <v>4909837</v>
      </c>
      <c r="G7" s="20">
        <v>4898184</v>
      </c>
      <c r="H7" s="20">
        <v>5196823</v>
      </c>
      <c r="I7" s="20">
        <v>5205372</v>
      </c>
      <c r="J7" s="20">
        <v>5256382</v>
      </c>
      <c r="K7" s="20">
        <v>5294830</v>
      </c>
      <c r="L7" s="20">
        <v>5250668</v>
      </c>
      <c r="M7" s="20">
        <v>5272295</v>
      </c>
      <c r="N7" s="20">
        <v>5257760</v>
      </c>
      <c r="O7" s="20">
        <v>5304774</v>
      </c>
      <c r="P7" s="20">
        <v>5115618</v>
      </c>
      <c r="Q7" s="20">
        <v>5127600</v>
      </c>
    </row>
    <row r="8" spans="1:17">
      <c r="A8" s="1"/>
      <c r="B8" s="1" t="s">
        <v>37</v>
      </c>
      <c r="C8" s="1"/>
      <c r="D8" s="1"/>
      <c r="E8" s="1"/>
      <c r="F8" s="20">
        <v>948</v>
      </c>
      <c r="G8" s="20">
        <v>948</v>
      </c>
      <c r="H8" s="20">
        <v>948</v>
      </c>
      <c r="I8" s="20">
        <v>948</v>
      </c>
      <c r="J8" s="20">
        <v>948</v>
      </c>
      <c r="K8" s="20">
        <v>948</v>
      </c>
      <c r="L8" s="20">
        <v>948</v>
      </c>
      <c r="M8" s="20">
        <v>948</v>
      </c>
      <c r="N8" s="20">
        <v>948</v>
      </c>
      <c r="O8" s="20">
        <v>948</v>
      </c>
      <c r="P8" s="20">
        <v>948</v>
      </c>
      <c r="Q8" s="20">
        <v>948</v>
      </c>
    </row>
    <row r="9" spans="1:17">
      <c r="C9" s="2" t="s">
        <v>10</v>
      </c>
      <c r="F9" s="22">
        <v>156</v>
      </c>
      <c r="G9" s="22">
        <v>156</v>
      </c>
      <c r="H9" s="22">
        <v>156</v>
      </c>
      <c r="I9" s="22">
        <v>156</v>
      </c>
      <c r="J9" s="22">
        <v>156</v>
      </c>
      <c r="K9" s="22">
        <v>156</v>
      </c>
      <c r="L9" s="22">
        <v>156</v>
      </c>
      <c r="M9" s="22">
        <v>156</v>
      </c>
      <c r="N9" s="22">
        <v>156</v>
      </c>
      <c r="O9" s="22">
        <v>156</v>
      </c>
      <c r="P9" s="22">
        <v>156</v>
      </c>
      <c r="Q9" s="22">
        <v>156</v>
      </c>
    </row>
    <row r="10" spans="1:17">
      <c r="D10" s="2" t="s">
        <v>2</v>
      </c>
      <c r="F10" s="24">
        <v>156</v>
      </c>
      <c r="G10" s="24">
        <v>156</v>
      </c>
      <c r="H10" s="24">
        <v>156</v>
      </c>
      <c r="I10" s="24">
        <v>156</v>
      </c>
      <c r="J10" s="24">
        <v>156</v>
      </c>
      <c r="K10" s="24">
        <v>156</v>
      </c>
      <c r="L10" s="24">
        <v>156</v>
      </c>
      <c r="M10" s="24">
        <v>156</v>
      </c>
      <c r="N10" s="24">
        <v>156</v>
      </c>
      <c r="O10" s="24">
        <v>156</v>
      </c>
      <c r="P10" s="24">
        <v>156</v>
      </c>
      <c r="Q10" s="24">
        <v>156</v>
      </c>
    </row>
    <row r="11" spans="1:17">
      <c r="D11" s="2" t="s">
        <v>3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</row>
    <row r="12" spans="1:17">
      <c r="C12" s="2" t="s">
        <v>4</v>
      </c>
      <c r="F12" s="22">
        <v>792</v>
      </c>
      <c r="G12" s="22">
        <v>792</v>
      </c>
      <c r="H12" s="22">
        <v>792</v>
      </c>
      <c r="I12" s="22">
        <v>792</v>
      </c>
      <c r="J12" s="22">
        <v>792</v>
      </c>
      <c r="K12" s="22">
        <v>792</v>
      </c>
      <c r="L12" s="22">
        <v>792</v>
      </c>
      <c r="M12" s="22">
        <v>792</v>
      </c>
      <c r="N12" s="22">
        <v>792</v>
      </c>
      <c r="O12" s="22">
        <v>792</v>
      </c>
      <c r="P12" s="22">
        <v>792</v>
      </c>
      <c r="Q12" s="22">
        <v>792</v>
      </c>
    </row>
    <row r="13" spans="1:17">
      <c r="D13" s="2" t="s">
        <v>12</v>
      </c>
      <c r="F13" s="24">
        <v>350</v>
      </c>
      <c r="G13" s="24">
        <v>350</v>
      </c>
      <c r="H13" s="24">
        <v>350</v>
      </c>
      <c r="I13" s="24">
        <v>350</v>
      </c>
      <c r="J13" s="24">
        <v>350</v>
      </c>
      <c r="K13" s="24">
        <v>350</v>
      </c>
      <c r="L13" s="24">
        <v>350</v>
      </c>
      <c r="M13" s="24">
        <v>350</v>
      </c>
      <c r="N13" s="24">
        <v>350</v>
      </c>
      <c r="O13" s="24">
        <v>350</v>
      </c>
      <c r="P13" s="24">
        <v>350</v>
      </c>
      <c r="Q13" s="24">
        <v>350</v>
      </c>
    </row>
    <row r="14" spans="1:17">
      <c r="D14" s="2" t="s">
        <v>13</v>
      </c>
      <c r="F14" s="24">
        <v>442</v>
      </c>
      <c r="G14" s="24">
        <v>442</v>
      </c>
      <c r="H14" s="24">
        <v>442</v>
      </c>
      <c r="I14" s="24">
        <v>442</v>
      </c>
      <c r="J14" s="24">
        <v>442</v>
      </c>
      <c r="K14" s="24">
        <v>442</v>
      </c>
      <c r="L14" s="24">
        <v>442</v>
      </c>
      <c r="M14" s="24">
        <v>442</v>
      </c>
      <c r="N14" s="24">
        <v>442</v>
      </c>
      <c r="O14" s="24">
        <v>442</v>
      </c>
      <c r="P14" s="24">
        <v>442</v>
      </c>
      <c r="Q14" s="24">
        <v>442</v>
      </c>
    </row>
    <row r="15" spans="1:17" hidden="1">
      <c r="D15" s="2" t="s">
        <v>14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</row>
    <row r="16" spans="1:17" hidden="1">
      <c r="D16" s="2" t="s">
        <v>15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</row>
    <row r="17" spans="1:17" ht="8.25" customHeight="1">
      <c r="F17" s="24"/>
    </row>
    <row r="18" spans="1:17" s="1" customFormat="1" ht="15" customHeight="1">
      <c r="B18" s="1" t="s">
        <v>38</v>
      </c>
      <c r="F18" s="27">
        <v>4908889</v>
      </c>
      <c r="G18" s="27">
        <v>4897236</v>
      </c>
      <c r="H18" s="27">
        <v>5195875</v>
      </c>
      <c r="I18" s="27">
        <v>5204424</v>
      </c>
      <c r="J18" s="27">
        <v>5255434</v>
      </c>
      <c r="K18" s="27">
        <v>5293882</v>
      </c>
      <c r="L18" s="27">
        <v>5249720</v>
      </c>
      <c r="M18" s="27">
        <v>5271347</v>
      </c>
      <c r="N18" s="27">
        <v>5256812</v>
      </c>
      <c r="O18" s="27">
        <v>5303826</v>
      </c>
      <c r="P18" s="27">
        <v>5114670</v>
      </c>
      <c r="Q18" s="27">
        <v>5126652</v>
      </c>
    </row>
    <row r="19" spans="1:17">
      <c r="F19" s="24"/>
      <c r="N19" s="24"/>
      <c r="O19" s="24"/>
      <c r="P19" s="24"/>
      <c r="Q19" s="24"/>
    </row>
    <row r="20" spans="1:17" ht="15" customHeight="1">
      <c r="A20" s="1" t="s">
        <v>41</v>
      </c>
      <c r="B20" s="1"/>
      <c r="C20" s="1"/>
      <c r="D20" s="1"/>
      <c r="E20" s="1"/>
      <c r="F20" s="20">
        <v>2584322</v>
      </c>
      <c r="G20" s="20">
        <v>2553373</v>
      </c>
      <c r="H20" s="20">
        <v>2605435</v>
      </c>
      <c r="I20" s="20">
        <v>2581440</v>
      </c>
      <c r="J20" s="20">
        <v>2659146</v>
      </c>
      <c r="K20" s="20">
        <v>2573804</v>
      </c>
      <c r="L20" s="20">
        <v>2553385</v>
      </c>
      <c r="M20" s="20">
        <v>2666784</v>
      </c>
      <c r="N20" s="20">
        <v>2649926</v>
      </c>
      <c r="O20" s="20">
        <v>2601303</v>
      </c>
      <c r="P20" s="20">
        <v>2594027</v>
      </c>
      <c r="Q20" s="20">
        <v>2603690</v>
      </c>
    </row>
    <row r="21" spans="1:17">
      <c r="A21" s="1"/>
      <c r="B21" s="1" t="s">
        <v>37</v>
      </c>
      <c r="C21" s="1"/>
      <c r="D21" s="1"/>
      <c r="E21" s="1"/>
      <c r="F21" s="20">
        <v>978186</v>
      </c>
      <c r="G21" s="20">
        <v>961086</v>
      </c>
      <c r="H21" s="20">
        <v>988429</v>
      </c>
      <c r="I21" s="20">
        <v>979848</v>
      </c>
      <c r="J21" s="20">
        <v>988317</v>
      </c>
      <c r="K21" s="20">
        <v>978787</v>
      </c>
      <c r="L21" s="20">
        <v>970639</v>
      </c>
      <c r="M21" s="20">
        <v>1001173</v>
      </c>
      <c r="N21" s="20">
        <v>997430</v>
      </c>
      <c r="O21" s="20">
        <v>977855</v>
      </c>
      <c r="P21" s="20">
        <v>973332</v>
      </c>
      <c r="Q21" s="20">
        <v>979531</v>
      </c>
    </row>
    <row r="22" spans="1:17" ht="15.75" customHeight="1">
      <c r="C22" s="2" t="s">
        <v>10</v>
      </c>
      <c r="F22" s="32">
        <v>978186</v>
      </c>
      <c r="G22" s="32">
        <v>961086</v>
      </c>
      <c r="H22" s="32">
        <v>988429</v>
      </c>
      <c r="I22" s="32">
        <v>979848</v>
      </c>
      <c r="J22" s="32">
        <v>988317</v>
      </c>
      <c r="K22" s="32">
        <v>978787</v>
      </c>
      <c r="L22" s="32">
        <v>970639</v>
      </c>
      <c r="M22" s="32">
        <v>1001173</v>
      </c>
      <c r="N22" s="32">
        <v>997430</v>
      </c>
      <c r="O22" s="32">
        <v>977855</v>
      </c>
      <c r="P22" s="32">
        <v>973332</v>
      </c>
      <c r="Q22" s="32">
        <v>979531</v>
      </c>
    </row>
    <row r="23" spans="1:17">
      <c r="D23" s="2" t="s">
        <v>2</v>
      </c>
      <c r="F23" s="24">
        <v>953748</v>
      </c>
      <c r="G23" s="24">
        <v>937643</v>
      </c>
      <c r="H23" s="24">
        <v>964928</v>
      </c>
      <c r="I23" s="24">
        <v>956877</v>
      </c>
      <c r="J23" s="38">
        <v>964722</v>
      </c>
      <c r="K23" s="24">
        <v>955831</v>
      </c>
      <c r="L23" s="24">
        <v>948272</v>
      </c>
      <c r="M23" s="24">
        <v>977924</v>
      </c>
      <c r="N23" s="24">
        <v>975163</v>
      </c>
      <c r="O23" s="24">
        <v>956274</v>
      </c>
      <c r="P23" s="24">
        <v>952007</v>
      </c>
      <c r="Q23" s="24">
        <v>958284</v>
      </c>
    </row>
    <row r="24" spans="1:17">
      <c r="D24" s="2" t="s">
        <v>3</v>
      </c>
      <c r="F24" s="24">
        <v>24438</v>
      </c>
      <c r="G24" s="24">
        <v>23443</v>
      </c>
      <c r="H24" s="24">
        <v>23501</v>
      </c>
      <c r="I24" s="24">
        <v>22971</v>
      </c>
      <c r="J24" s="38">
        <v>23595</v>
      </c>
      <c r="K24" s="24">
        <v>22956</v>
      </c>
      <c r="L24" s="24">
        <v>22367</v>
      </c>
      <c r="M24" s="24">
        <v>23249</v>
      </c>
      <c r="N24" s="24">
        <v>22267</v>
      </c>
      <c r="O24" s="24">
        <v>21581</v>
      </c>
      <c r="P24" s="24">
        <v>21325</v>
      </c>
      <c r="Q24" s="24">
        <v>21247</v>
      </c>
    </row>
    <row r="25" spans="1:17">
      <c r="C25" s="2" t="s">
        <v>4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</row>
    <row r="26" spans="1:17" hidden="1">
      <c r="D26" s="2" t="s">
        <v>12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</row>
    <row r="27" spans="1:17" hidden="1">
      <c r="D27" s="2" t="s">
        <v>13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</row>
    <row r="28" spans="1:17" hidden="1">
      <c r="D28" s="2" t="s">
        <v>14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</row>
    <row r="29" spans="1:17" hidden="1">
      <c r="D29" s="2" t="s">
        <v>15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</row>
    <row r="30" spans="1:17" hidden="1">
      <c r="D30" s="2" t="s">
        <v>16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</row>
    <row r="31" spans="1:17" ht="11.25" customHeight="1">
      <c r="F31" s="24"/>
      <c r="O31" s="15"/>
      <c r="P31" s="15"/>
      <c r="Q31" s="15"/>
    </row>
    <row r="32" spans="1:17" s="1" customFormat="1">
      <c r="B32" s="1" t="s">
        <v>38</v>
      </c>
      <c r="F32" s="27">
        <v>1606136</v>
      </c>
      <c r="G32" s="27">
        <v>1592287</v>
      </c>
      <c r="H32" s="27">
        <v>1617006</v>
      </c>
      <c r="I32" s="27">
        <v>1601592</v>
      </c>
      <c r="J32" s="27">
        <v>1670829</v>
      </c>
      <c r="K32" s="27">
        <v>1595017</v>
      </c>
      <c r="L32" s="27">
        <v>1582746</v>
      </c>
      <c r="M32" s="27">
        <v>1665611</v>
      </c>
      <c r="N32" s="27">
        <v>1652496</v>
      </c>
      <c r="O32" s="16">
        <v>1623448</v>
      </c>
      <c r="P32" s="16">
        <v>1620695</v>
      </c>
      <c r="Q32" s="16">
        <v>1624159</v>
      </c>
    </row>
    <row r="33" spans="1:17">
      <c r="O33" s="15"/>
      <c r="P33" s="15"/>
      <c r="Q33" s="15"/>
    </row>
    <row r="34" spans="1:17" ht="18.75" customHeight="1">
      <c r="C34" s="6" t="s">
        <v>7</v>
      </c>
      <c r="D34" s="6"/>
      <c r="E34" s="6"/>
      <c r="F34" s="7">
        <v>7494159</v>
      </c>
      <c r="G34" s="7">
        <v>7451557</v>
      </c>
      <c r="H34" s="7">
        <v>7802258</v>
      </c>
      <c r="I34" s="7">
        <v>7786812</v>
      </c>
      <c r="J34" s="36">
        <v>7915528</v>
      </c>
      <c r="K34" s="36">
        <v>7868634</v>
      </c>
      <c r="L34" s="36">
        <v>7804053</v>
      </c>
      <c r="M34" s="36">
        <v>7939079</v>
      </c>
      <c r="N34" s="36">
        <v>7907686</v>
      </c>
      <c r="O34" s="36">
        <v>7906077</v>
      </c>
      <c r="P34" s="36">
        <v>7709645</v>
      </c>
      <c r="Q34" s="36">
        <v>7731290</v>
      </c>
    </row>
    <row r="35" spans="1:17">
      <c r="A35" s="8"/>
      <c r="B35" s="9"/>
      <c r="C35" s="9"/>
      <c r="D35" s="9"/>
    </row>
    <row r="36" spans="1:17">
      <c r="A36" s="2" t="s">
        <v>11</v>
      </c>
    </row>
    <row r="37" spans="1:17">
      <c r="A37" s="1"/>
    </row>
    <row r="38" spans="1:17" s="11" customFormat="1">
      <c r="A38" s="10" t="s">
        <v>8</v>
      </c>
      <c r="B38" s="10"/>
      <c r="C38" s="10"/>
      <c r="D38" s="10"/>
      <c r="E38" s="10"/>
      <c r="F38" s="10">
        <v>52.161000000000001</v>
      </c>
      <c r="G38" s="11">
        <v>51.768999999999998</v>
      </c>
      <c r="H38" s="11">
        <v>52.628999999999998</v>
      </c>
      <c r="I38" s="11">
        <v>52.097999999999999</v>
      </c>
      <c r="J38" s="11">
        <v>52.222000000000001</v>
      </c>
      <c r="K38" s="11">
        <v>51.232999999999997</v>
      </c>
      <c r="L38" s="11">
        <v>50.865000000000002</v>
      </c>
      <c r="M38" s="11">
        <v>52.128999999999998</v>
      </c>
      <c r="N38" s="11">
        <v>51.795000000000002</v>
      </c>
      <c r="O38" s="11">
        <v>50.768999999999998</v>
      </c>
      <c r="P38" s="11">
        <v>50.758000000000003</v>
      </c>
      <c r="Q38" s="11">
        <v>50.802</v>
      </c>
    </row>
    <row r="39" spans="1:17" s="11" customFormat="1">
      <c r="A39" s="10"/>
      <c r="B39" s="10"/>
      <c r="C39" s="10"/>
      <c r="D39" s="10"/>
      <c r="E39" s="10"/>
      <c r="N39" s="11" t="s">
        <v>35</v>
      </c>
    </row>
    <row r="40" spans="1:17" s="11" customFormat="1">
      <c r="A40" s="10"/>
      <c r="B40" s="10"/>
      <c r="C40" s="10"/>
      <c r="D40" s="10"/>
      <c r="E40" s="10"/>
    </row>
    <row r="41" spans="1:17">
      <c r="A41" s="11" t="s">
        <v>22</v>
      </c>
    </row>
    <row r="42" spans="1:17">
      <c r="A42" s="11"/>
    </row>
    <row r="43" spans="1:17">
      <c r="A43" s="185">
        <v>43853</v>
      </c>
      <c r="B43" s="185"/>
      <c r="C43" s="185"/>
      <c r="D43" s="185"/>
      <c r="E43" s="185"/>
      <c r="F43" s="185"/>
    </row>
    <row r="44" spans="1:17">
      <c r="E44" s="11"/>
    </row>
    <row r="45" spans="1:17">
      <c r="A45" s="12"/>
      <c r="E45" s="11"/>
    </row>
    <row r="46" spans="1:17">
      <c r="A46" s="12"/>
      <c r="E46" s="11"/>
    </row>
    <row r="47" spans="1:17">
      <c r="A47" s="12"/>
      <c r="E47" s="11"/>
    </row>
    <row r="48" spans="1:17">
      <c r="A48" s="12"/>
      <c r="E48" s="11"/>
    </row>
    <row r="49" spans="1:5">
      <c r="A49" s="12"/>
      <c r="E49" s="11"/>
    </row>
    <row r="50" spans="1:5">
      <c r="A50" s="12"/>
      <c r="E50" s="11"/>
    </row>
    <row r="51" spans="1:5">
      <c r="A51" s="12"/>
      <c r="E51" s="11"/>
    </row>
    <row r="52" spans="1:5">
      <c r="A52" s="12"/>
      <c r="E52" s="11"/>
    </row>
    <row r="53" spans="1:5">
      <c r="A53" s="12"/>
      <c r="E53" s="11"/>
    </row>
    <row r="54" spans="1:5">
      <c r="A54" s="12"/>
      <c r="E54" s="11"/>
    </row>
    <row r="55" spans="1:5">
      <c r="A55" s="12"/>
      <c r="E55" s="11"/>
    </row>
    <row r="56" spans="1:5">
      <c r="A56" s="12"/>
      <c r="E56" s="11"/>
    </row>
    <row r="57" spans="1:5">
      <c r="A57" s="12"/>
      <c r="E57" s="11"/>
    </row>
    <row r="58" spans="1:5">
      <c r="A58" s="12"/>
      <c r="E58" s="11"/>
    </row>
  </sheetData>
  <mergeCells count="2">
    <mergeCell ref="A5:E5"/>
    <mergeCell ref="A43:F43"/>
  </mergeCells>
  <printOptions horizontalCentered="1"/>
  <pageMargins left="0.23622047244094491" right="0" top="0.74803149606299213" bottom="0" header="0" footer="0"/>
  <pageSetup paperSize="9" scale="7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D9EF-AF9C-40B6-A54A-236A2EAA8887}">
  <sheetPr>
    <pageSetUpPr fitToPage="1"/>
  </sheetPr>
  <dimension ref="A1:HA103"/>
  <sheetViews>
    <sheetView topLeftCell="A61" zoomScaleNormal="100" workbookViewId="0">
      <pane xSplit="5" ySplit="7" topLeftCell="F71" activePane="bottomRight" state="frozen"/>
      <selection activeCell="M88" sqref="M88"/>
      <selection pane="topRight" activeCell="M88" sqref="M88"/>
      <selection pane="bottomLeft" activeCell="M88" sqref="M88"/>
      <selection pane="bottomRight" activeCell="S85" sqref="S8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8.85546875" style="2" customWidth="1"/>
    <col min="6" max="17" width="8.28515625" style="2" customWidth="1"/>
    <col min="18" max="19" width="9.140625" style="2" customWidth="1"/>
    <col min="20" max="16384" width="9.140625" style="2"/>
  </cols>
  <sheetData>
    <row r="1" spans="1:6" hidden="1">
      <c r="A1" s="19" t="s">
        <v>25</v>
      </c>
      <c r="B1" s="19"/>
      <c r="C1" s="19"/>
      <c r="D1" s="19"/>
      <c r="E1" s="19"/>
      <c r="F1" s="19"/>
    </row>
    <row r="2" spans="1:6" hidden="1">
      <c r="A2" s="180" t="s">
        <v>174</v>
      </c>
      <c r="B2" s="180"/>
      <c r="C2" s="180"/>
      <c r="D2" s="180"/>
      <c r="E2" s="180"/>
      <c r="F2" s="180"/>
    </row>
    <row r="3" spans="1:6" hidden="1">
      <c r="A3" s="181" t="s">
        <v>0</v>
      </c>
      <c r="B3" s="181"/>
      <c r="C3" s="181"/>
      <c r="D3" s="181"/>
      <c r="E3" s="181"/>
      <c r="F3" s="181"/>
    </row>
    <row r="4" spans="1:6" hidden="1">
      <c r="A4" s="4"/>
    </row>
    <row r="5" spans="1:6" hidden="1">
      <c r="A5" s="4"/>
    </row>
    <row r="6" spans="1:6" ht="16.5" hidden="1" customHeight="1">
      <c r="A6" s="182" t="s">
        <v>1</v>
      </c>
      <c r="B6" s="183"/>
      <c r="C6" s="183"/>
      <c r="D6" s="183"/>
      <c r="E6" s="183"/>
      <c r="F6" s="74" t="s">
        <v>5</v>
      </c>
    </row>
    <row r="7" spans="1:6" ht="16.5" hidden="1" customHeight="1">
      <c r="A7" s="46"/>
      <c r="B7" s="46"/>
      <c r="C7" s="46"/>
      <c r="D7" s="46"/>
      <c r="E7" s="46"/>
      <c r="F7" s="47"/>
    </row>
    <row r="8" spans="1:6" ht="14.25" hidden="1" customHeight="1">
      <c r="A8" s="1" t="s">
        <v>6</v>
      </c>
      <c r="B8" s="1"/>
      <c r="C8" s="1"/>
      <c r="D8" s="1"/>
      <c r="E8" s="1"/>
      <c r="F8" s="13">
        <f>+F10+F15</f>
        <v>3620441</v>
      </c>
    </row>
    <row r="9" spans="1:6" hidden="1">
      <c r="A9" s="1"/>
      <c r="B9" s="1"/>
      <c r="C9" s="1"/>
      <c r="D9" s="1"/>
      <c r="E9" s="1"/>
      <c r="F9" s="13"/>
    </row>
    <row r="10" spans="1:6" hidden="1">
      <c r="B10" s="2" t="s">
        <v>9</v>
      </c>
      <c r="F10" s="14">
        <f>+F11+F12+F13</f>
        <v>3619999</v>
      </c>
    </row>
    <row r="11" spans="1:6" ht="15" hidden="1" customHeight="1">
      <c r="C11" s="2" t="s">
        <v>169</v>
      </c>
      <c r="F11" s="15">
        <v>3619843</v>
      </c>
    </row>
    <row r="12" spans="1:6" hidden="1">
      <c r="C12" s="2" t="s">
        <v>2</v>
      </c>
      <c r="F12" s="15">
        <v>156</v>
      </c>
    </row>
    <row r="13" spans="1:6" hidden="1">
      <c r="C13" s="2" t="s">
        <v>3</v>
      </c>
      <c r="F13" s="15">
        <v>0</v>
      </c>
    </row>
    <row r="14" spans="1:6" ht="8.25" hidden="1" customHeight="1">
      <c r="F14" s="15"/>
    </row>
    <row r="15" spans="1:6" hidden="1">
      <c r="B15" s="2" t="s">
        <v>4</v>
      </c>
      <c r="F15" s="14">
        <f>SUM(F16:F19)</f>
        <v>442</v>
      </c>
    </row>
    <row r="16" spans="1:6" hidden="1">
      <c r="C16" s="2" t="s">
        <v>12</v>
      </c>
      <c r="F16" s="15">
        <v>0</v>
      </c>
    </row>
    <row r="17" spans="1:6" hidden="1">
      <c r="C17" s="2" t="s">
        <v>13</v>
      </c>
      <c r="F17" s="15">
        <v>442</v>
      </c>
    </row>
    <row r="18" spans="1:6" hidden="1">
      <c r="C18" s="2" t="s">
        <v>14</v>
      </c>
      <c r="F18" s="15">
        <v>0</v>
      </c>
    </row>
    <row r="19" spans="1:6" hidden="1">
      <c r="C19" s="2" t="s">
        <v>15</v>
      </c>
      <c r="F19" s="15">
        <v>0</v>
      </c>
    </row>
    <row r="20" spans="1:6" hidden="1">
      <c r="F20" s="15"/>
    </row>
    <row r="21" spans="1:6" ht="15" hidden="1" customHeight="1">
      <c r="A21" s="1" t="s">
        <v>170</v>
      </c>
      <c r="B21" s="1"/>
      <c r="C21" s="1"/>
      <c r="D21" s="1"/>
      <c r="E21" s="1"/>
      <c r="F21" s="13">
        <f>+F22+F26+F33</f>
        <v>1973306</v>
      </c>
    </row>
    <row r="22" spans="1:6" ht="15.75" hidden="1" customHeight="1">
      <c r="B22" s="2" t="s">
        <v>10</v>
      </c>
      <c r="F22" s="14">
        <f>+F23+F24</f>
        <v>719517</v>
      </c>
    </row>
    <row r="23" spans="1:6" hidden="1">
      <c r="C23" s="2" t="s">
        <v>2</v>
      </c>
      <c r="F23" s="15">
        <v>679732</v>
      </c>
    </row>
    <row r="24" spans="1:6" hidden="1">
      <c r="C24" s="2" t="s">
        <v>3</v>
      </c>
      <c r="F24" s="15">
        <v>39785</v>
      </c>
    </row>
    <row r="25" spans="1:6" ht="9" hidden="1" customHeight="1">
      <c r="F25" s="14"/>
    </row>
    <row r="26" spans="1:6" hidden="1">
      <c r="B26" s="2" t="s">
        <v>4</v>
      </c>
      <c r="F26" s="14">
        <f>SUM(F27:F31)</f>
        <v>0</v>
      </c>
    </row>
    <row r="27" spans="1:6" hidden="1">
      <c r="D27" s="2" t="s">
        <v>12</v>
      </c>
      <c r="F27" s="15">
        <v>0</v>
      </c>
    </row>
    <row r="28" spans="1:6" hidden="1">
      <c r="D28" s="2" t="s">
        <v>13</v>
      </c>
      <c r="F28" s="15">
        <v>0</v>
      </c>
    </row>
    <row r="29" spans="1:6" hidden="1">
      <c r="D29" s="2" t="s">
        <v>14</v>
      </c>
      <c r="F29" s="15">
        <v>0</v>
      </c>
    </row>
    <row r="30" spans="1:6" hidden="1">
      <c r="D30" s="2" t="s">
        <v>15</v>
      </c>
      <c r="F30" s="15">
        <v>0</v>
      </c>
    </row>
    <row r="31" spans="1:6" hidden="1">
      <c r="D31" s="2" t="s">
        <v>16</v>
      </c>
      <c r="F31" s="15">
        <v>0</v>
      </c>
    </row>
    <row r="32" spans="1:6" ht="11.25" hidden="1" customHeight="1">
      <c r="F32" s="15"/>
    </row>
    <row r="33" spans="1:209" hidden="1">
      <c r="B33" s="2" t="s">
        <v>173</v>
      </c>
      <c r="F33" s="15">
        <v>1253789</v>
      </c>
    </row>
    <row r="34" spans="1:209" hidden="1">
      <c r="HA34" s="2">
        <v>0</v>
      </c>
    </row>
    <row r="35" spans="1:209" hidden="1"/>
    <row r="36" spans="1:209" hidden="1">
      <c r="C36" s="1" t="s">
        <v>7</v>
      </c>
      <c r="D36" s="1"/>
      <c r="E36" s="1"/>
      <c r="F36" s="41">
        <f>+F8+F21+1</f>
        <v>5593748</v>
      </c>
    </row>
    <row r="37" spans="1:209" hidden="1">
      <c r="A37" s="8"/>
      <c r="B37" s="9"/>
      <c r="C37" s="9"/>
      <c r="D37" s="9"/>
    </row>
    <row r="38" spans="1:209" hidden="1">
      <c r="A38" s="2" t="s">
        <v>11</v>
      </c>
    </row>
    <row r="39" spans="1:209" hidden="1">
      <c r="A39" s="1"/>
    </row>
    <row r="40" spans="1:209" s="11" customFormat="1" hidden="1">
      <c r="A40" s="10" t="s">
        <v>8</v>
      </c>
      <c r="B40" s="10"/>
      <c r="C40" s="10"/>
      <c r="D40" s="10"/>
      <c r="E40" s="10"/>
      <c r="F40" s="71">
        <v>45.2</v>
      </c>
    </row>
    <row r="41" spans="1:209" s="11" customFormat="1" hidden="1">
      <c r="A41" s="10"/>
      <c r="B41" s="10"/>
      <c r="C41" s="10"/>
      <c r="D41" s="10"/>
      <c r="E41" s="10"/>
    </row>
    <row r="42" spans="1:209" s="11" customFormat="1" hidden="1">
      <c r="A42" s="10"/>
      <c r="B42" s="10"/>
      <c r="C42" s="10"/>
      <c r="D42" s="10"/>
      <c r="E42" s="10"/>
    </row>
    <row r="43" spans="1:209" hidden="1">
      <c r="A43" s="11" t="s">
        <v>22</v>
      </c>
    </row>
    <row r="44" spans="1:209" hidden="1">
      <c r="A44" s="11"/>
    </row>
    <row r="45" spans="1:209" hidden="1">
      <c r="A45" s="48"/>
      <c r="E45" s="11"/>
    </row>
    <row r="46" spans="1:209" hidden="1">
      <c r="A46" s="12"/>
      <c r="E46" s="11"/>
    </row>
    <row r="47" spans="1:209" hidden="1">
      <c r="A47" s="12"/>
      <c r="E47" s="11"/>
    </row>
    <row r="48" spans="1:209" hidden="1">
      <c r="A48" s="12"/>
      <c r="E48" s="11"/>
    </row>
    <row r="49" spans="1:6" hidden="1">
      <c r="A49" s="12"/>
      <c r="E49" s="11"/>
    </row>
    <row r="50" spans="1:6" hidden="1">
      <c r="A50" s="12"/>
      <c r="E50" s="11"/>
    </row>
    <row r="51" spans="1:6" hidden="1">
      <c r="A51" s="12"/>
      <c r="E51" s="11"/>
    </row>
    <row r="52" spans="1:6" hidden="1">
      <c r="A52" s="12"/>
      <c r="E52" s="11"/>
    </row>
    <row r="53" spans="1:6" hidden="1">
      <c r="A53" s="12"/>
      <c r="E53" s="11"/>
    </row>
    <row r="54" spans="1:6" hidden="1">
      <c r="A54" s="12"/>
      <c r="E54" s="11"/>
    </row>
    <row r="55" spans="1:6" hidden="1">
      <c r="A55" s="12"/>
      <c r="E55" s="11"/>
    </row>
    <row r="56" spans="1:6" hidden="1">
      <c r="A56" s="12"/>
      <c r="E56" s="11"/>
    </row>
    <row r="57" spans="1:6" hidden="1">
      <c r="A57" s="12"/>
      <c r="E57" s="11"/>
    </row>
    <row r="58" spans="1:6" hidden="1">
      <c r="A58" s="12"/>
      <c r="E58" s="11"/>
    </row>
    <row r="59" spans="1:6" hidden="1">
      <c r="A59" s="12"/>
      <c r="E59" s="11"/>
    </row>
    <row r="60" spans="1:6" hidden="1">
      <c r="A60" s="12"/>
      <c r="E60" s="11"/>
    </row>
    <row r="61" spans="1:6">
      <c r="A61" s="19" t="s">
        <v>138</v>
      </c>
      <c r="B61" s="19"/>
      <c r="C61" s="19"/>
      <c r="D61" s="19"/>
      <c r="E61" s="19"/>
      <c r="F61" s="19"/>
    </row>
    <row r="62" spans="1:6">
      <c r="A62" s="19" t="str">
        <f>'[5]2019'!A2</f>
        <v>As of December 2019</v>
      </c>
      <c r="B62" s="19"/>
      <c r="C62" s="19"/>
      <c r="D62" s="19"/>
      <c r="E62" s="19"/>
      <c r="F62" s="19"/>
    </row>
    <row r="63" spans="1:6">
      <c r="A63" s="4" t="s">
        <v>0</v>
      </c>
      <c r="B63" s="4"/>
      <c r="C63" s="4"/>
      <c r="D63" s="4"/>
      <c r="E63" s="4"/>
      <c r="F63" s="4"/>
    </row>
    <row r="64" spans="1:6" ht="8.25" customHeight="1">
      <c r="A64" s="73"/>
      <c r="B64" s="73"/>
      <c r="C64" s="73"/>
      <c r="D64" s="73"/>
      <c r="E64" s="73"/>
      <c r="F64" s="73"/>
    </row>
    <row r="65" spans="1:17" ht="18" customHeight="1">
      <c r="A65" s="184" t="s">
        <v>1</v>
      </c>
      <c r="B65" s="184"/>
      <c r="C65" s="184"/>
      <c r="D65" s="184"/>
      <c r="E65" s="184"/>
      <c r="F65" s="161" t="s">
        <v>5</v>
      </c>
      <c r="G65" s="161" t="s">
        <v>23</v>
      </c>
      <c r="H65" s="161" t="s">
        <v>24</v>
      </c>
      <c r="I65" s="161" t="s">
        <v>26</v>
      </c>
      <c r="J65" s="161" t="s">
        <v>27</v>
      </c>
      <c r="K65" s="161" t="s">
        <v>36</v>
      </c>
      <c r="L65" s="161" t="s">
        <v>28</v>
      </c>
      <c r="M65" s="161" t="s">
        <v>29</v>
      </c>
      <c r="N65" s="161" t="s">
        <v>39</v>
      </c>
      <c r="O65" s="161" t="s">
        <v>31</v>
      </c>
      <c r="P65" s="161" t="s">
        <v>32</v>
      </c>
      <c r="Q65" s="161" t="s">
        <v>33</v>
      </c>
    </row>
    <row r="66" spans="1:17" ht="9" customHeight="1"/>
    <row r="67" spans="1:17" ht="17.25" customHeight="1">
      <c r="A67" s="6" t="s">
        <v>17</v>
      </c>
      <c r="B67" s="6"/>
      <c r="C67" s="6"/>
      <c r="D67" s="6"/>
      <c r="E67" s="6"/>
      <c r="F67" s="155">
        <f t="shared" ref="F67:Q67" si="0">+F69+F76</f>
        <v>487285</v>
      </c>
      <c r="G67" s="155">
        <f t="shared" si="0"/>
        <v>473371</v>
      </c>
      <c r="H67" s="155">
        <f t="shared" si="0"/>
        <v>479667</v>
      </c>
      <c r="I67" s="155">
        <f t="shared" si="0"/>
        <v>482982</v>
      </c>
      <c r="J67" s="155">
        <f t="shared" si="0"/>
        <v>486158</v>
      </c>
      <c r="K67" s="155">
        <f t="shared" si="0"/>
        <v>486597</v>
      </c>
      <c r="L67" s="155">
        <f t="shared" si="0"/>
        <v>483813</v>
      </c>
      <c r="M67" s="155">
        <f t="shared" si="0"/>
        <v>490278</v>
      </c>
      <c r="N67" s="155">
        <f t="shared" si="0"/>
        <v>484429</v>
      </c>
      <c r="O67" s="155">
        <f t="shared" si="0"/>
        <v>477652</v>
      </c>
      <c r="P67" s="155">
        <f t="shared" si="0"/>
        <v>474997</v>
      </c>
      <c r="Q67" s="155">
        <f t="shared" si="0"/>
        <v>488746</v>
      </c>
    </row>
    <row r="68" spans="1:17">
      <c r="A68" s="1"/>
      <c r="B68" s="1"/>
      <c r="C68" s="1"/>
      <c r="D68" s="1"/>
      <c r="E68" s="1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>
      <c r="A69" s="1"/>
      <c r="B69" s="1" t="s">
        <v>18</v>
      </c>
      <c r="C69" s="1"/>
      <c r="D69" s="1"/>
      <c r="E69" s="1"/>
      <c r="F69" s="20">
        <f t="shared" ref="F69:Q69" si="1">+F71+F72</f>
        <v>197012</v>
      </c>
      <c r="G69" s="20">
        <f t="shared" si="1"/>
        <v>188501</v>
      </c>
      <c r="H69" s="20">
        <f t="shared" si="1"/>
        <v>191287</v>
      </c>
      <c r="I69" s="20">
        <f t="shared" si="1"/>
        <v>197724</v>
      </c>
      <c r="J69" s="20">
        <f t="shared" si="1"/>
        <v>247436</v>
      </c>
      <c r="K69" s="20">
        <f t="shared" si="1"/>
        <v>253364</v>
      </c>
      <c r="L69" s="20">
        <f t="shared" si="1"/>
        <v>253046</v>
      </c>
      <c r="M69" s="20">
        <f t="shared" si="1"/>
        <v>249666</v>
      </c>
      <c r="N69" s="20">
        <f t="shared" si="1"/>
        <v>249384</v>
      </c>
      <c r="O69" s="20">
        <f t="shared" si="1"/>
        <v>247239</v>
      </c>
      <c r="P69" s="20">
        <f t="shared" si="1"/>
        <v>246913</v>
      </c>
      <c r="Q69" s="20">
        <f t="shared" si="1"/>
        <v>260764</v>
      </c>
    </row>
    <row r="70" spans="1:17" ht="9.75" customHeight="1">
      <c r="A70" s="1"/>
      <c r="B70" s="1"/>
      <c r="C70" s="1"/>
      <c r="D70" s="1"/>
      <c r="E70" s="1"/>
      <c r="F70" s="20"/>
    </row>
    <row r="71" spans="1:17">
      <c r="C71" s="2" t="s">
        <v>167</v>
      </c>
      <c r="F71" s="24">
        <v>196876</v>
      </c>
      <c r="G71" s="24">
        <v>188365</v>
      </c>
      <c r="H71" s="24">
        <v>191151</v>
      </c>
      <c r="I71" s="24">
        <v>197588</v>
      </c>
      <c r="J71" s="24">
        <v>247300</v>
      </c>
      <c r="K71" s="24">
        <v>253228</v>
      </c>
      <c r="L71" s="24">
        <v>252910</v>
      </c>
      <c r="M71" s="24">
        <v>249530</v>
      </c>
      <c r="N71" s="24">
        <v>249248</v>
      </c>
      <c r="O71" s="24">
        <v>247103</v>
      </c>
      <c r="P71" s="24">
        <v>246777</v>
      </c>
      <c r="Q71" s="24">
        <v>260628</v>
      </c>
    </row>
    <row r="72" spans="1:17">
      <c r="C72" s="2" t="s">
        <v>19</v>
      </c>
      <c r="F72" s="22">
        <f t="shared" ref="F72:Q72" si="2">+F73+F74</f>
        <v>136</v>
      </c>
      <c r="G72" s="22">
        <f t="shared" si="2"/>
        <v>136</v>
      </c>
      <c r="H72" s="22">
        <f t="shared" si="2"/>
        <v>136</v>
      </c>
      <c r="I72" s="22">
        <f t="shared" si="2"/>
        <v>136</v>
      </c>
      <c r="J72" s="22">
        <f t="shared" si="2"/>
        <v>136</v>
      </c>
      <c r="K72" s="22">
        <f t="shared" si="2"/>
        <v>136</v>
      </c>
      <c r="L72" s="22">
        <f t="shared" si="2"/>
        <v>136</v>
      </c>
      <c r="M72" s="22">
        <f t="shared" si="2"/>
        <v>136</v>
      </c>
      <c r="N72" s="22">
        <f t="shared" si="2"/>
        <v>136</v>
      </c>
      <c r="O72" s="22">
        <f t="shared" si="2"/>
        <v>136</v>
      </c>
      <c r="P72" s="22">
        <f t="shared" si="2"/>
        <v>136</v>
      </c>
      <c r="Q72" s="22">
        <f t="shared" si="2"/>
        <v>136</v>
      </c>
    </row>
    <row r="73" spans="1:17">
      <c r="D73" s="2" t="s">
        <v>20</v>
      </c>
      <c r="F73" s="24">
        <v>37</v>
      </c>
      <c r="G73" s="24">
        <v>37</v>
      </c>
      <c r="H73" s="24">
        <v>37</v>
      </c>
      <c r="I73" s="24">
        <v>37</v>
      </c>
      <c r="J73" s="24">
        <v>37</v>
      </c>
      <c r="K73" s="24">
        <v>37</v>
      </c>
      <c r="L73" s="24">
        <v>37</v>
      </c>
      <c r="M73" s="24">
        <v>37</v>
      </c>
      <c r="N73" s="24">
        <v>37</v>
      </c>
      <c r="O73" s="24">
        <v>37</v>
      </c>
      <c r="P73" s="24">
        <v>37</v>
      </c>
      <c r="Q73" s="24">
        <v>37</v>
      </c>
    </row>
    <row r="74" spans="1:17">
      <c r="D74" s="2" t="s">
        <v>15</v>
      </c>
      <c r="F74" s="24">
        <v>99</v>
      </c>
      <c r="G74" s="24">
        <v>99</v>
      </c>
      <c r="H74" s="24">
        <v>99</v>
      </c>
      <c r="I74" s="24">
        <v>99</v>
      </c>
      <c r="J74" s="24">
        <v>99</v>
      </c>
      <c r="K74" s="24">
        <v>99</v>
      </c>
      <c r="L74" s="24">
        <v>99</v>
      </c>
      <c r="M74" s="24">
        <v>99</v>
      </c>
      <c r="N74" s="24">
        <v>99</v>
      </c>
      <c r="O74" s="24">
        <v>99</v>
      </c>
      <c r="P74" s="24">
        <v>99</v>
      </c>
      <c r="Q74" s="24">
        <v>99</v>
      </c>
    </row>
    <row r="75" spans="1:17">
      <c r="F75" s="24"/>
      <c r="K75" s="24"/>
      <c r="L75" s="24"/>
    </row>
    <row r="76" spans="1:17">
      <c r="A76" s="1"/>
      <c r="B76" s="1" t="s">
        <v>168</v>
      </c>
      <c r="C76" s="1"/>
      <c r="D76" s="1"/>
      <c r="E76" s="1"/>
      <c r="F76" s="20">
        <f t="shared" ref="F76:Q76" si="3">+F78+F79</f>
        <v>290273</v>
      </c>
      <c r="G76" s="20">
        <f t="shared" si="3"/>
        <v>284870</v>
      </c>
      <c r="H76" s="20">
        <f t="shared" si="3"/>
        <v>288380</v>
      </c>
      <c r="I76" s="20">
        <f t="shared" si="3"/>
        <v>285258</v>
      </c>
      <c r="J76" s="20">
        <f t="shared" si="3"/>
        <v>238722</v>
      </c>
      <c r="K76" s="20">
        <f t="shared" si="3"/>
        <v>233233</v>
      </c>
      <c r="L76" s="20">
        <f t="shared" si="3"/>
        <v>230767</v>
      </c>
      <c r="M76" s="20">
        <f t="shared" si="3"/>
        <v>240612</v>
      </c>
      <c r="N76" s="20">
        <f t="shared" si="3"/>
        <v>235045</v>
      </c>
      <c r="O76" s="20">
        <f t="shared" si="3"/>
        <v>230413</v>
      </c>
      <c r="P76" s="20">
        <f t="shared" si="3"/>
        <v>228084</v>
      </c>
      <c r="Q76" s="20">
        <f t="shared" si="3"/>
        <v>227982</v>
      </c>
    </row>
    <row r="77" spans="1:17" ht="8.25" customHeight="1">
      <c r="A77" s="1"/>
      <c r="B77" s="1"/>
      <c r="C77" s="1"/>
      <c r="D77" s="1"/>
      <c r="E77" s="1"/>
      <c r="F77" s="20"/>
      <c r="K77" s="24"/>
      <c r="L77" s="24"/>
      <c r="O77" s="24"/>
      <c r="P77" s="24"/>
    </row>
    <row r="78" spans="1:17">
      <c r="C78" s="2" t="s">
        <v>167</v>
      </c>
      <c r="F78" s="24">
        <v>285812</v>
      </c>
      <c r="G78" s="24">
        <v>280442</v>
      </c>
      <c r="H78" s="24">
        <v>283879</v>
      </c>
      <c r="I78" s="24">
        <v>280803</v>
      </c>
      <c r="J78" s="24">
        <v>234256</v>
      </c>
      <c r="K78" s="24">
        <v>228851</v>
      </c>
      <c r="L78" s="24">
        <v>226417</v>
      </c>
      <c r="M78" s="24">
        <v>236154</v>
      </c>
      <c r="N78" s="24">
        <v>230616</v>
      </c>
      <c r="O78" s="24">
        <v>226071</v>
      </c>
      <c r="P78" s="24">
        <v>223743</v>
      </c>
      <c r="Q78" s="24">
        <v>223637</v>
      </c>
    </row>
    <row r="79" spans="1:17">
      <c r="C79" s="2" t="s">
        <v>19</v>
      </c>
      <c r="F79" s="22">
        <f t="shared" ref="F79:K79" si="4">SUM(F80:F83)</f>
        <v>4461</v>
      </c>
      <c r="G79" s="22">
        <f t="shared" si="4"/>
        <v>4428</v>
      </c>
      <c r="H79" s="22">
        <f t="shared" si="4"/>
        <v>4501</v>
      </c>
      <c r="I79" s="22">
        <f t="shared" si="4"/>
        <v>4455</v>
      </c>
      <c r="J79" s="22">
        <f t="shared" si="4"/>
        <v>4466</v>
      </c>
      <c r="K79" s="22">
        <f t="shared" si="4"/>
        <v>4382</v>
      </c>
      <c r="L79" s="22">
        <f t="shared" ref="L79:Q79" si="5">SUM(L80:L83)</f>
        <v>4350</v>
      </c>
      <c r="M79" s="22">
        <f t="shared" si="5"/>
        <v>4458</v>
      </c>
      <c r="N79" s="22">
        <f t="shared" si="5"/>
        <v>4429</v>
      </c>
      <c r="O79" s="22">
        <f t="shared" si="5"/>
        <v>4342</v>
      </c>
      <c r="P79" s="22">
        <f t="shared" si="5"/>
        <v>4341</v>
      </c>
      <c r="Q79" s="22">
        <f t="shared" si="5"/>
        <v>4345</v>
      </c>
    </row>
    <row r="80" spans="1:17">
      <c r="D80" s="2" t="s">
        <v>12</v>
      </c>
      <c r="F80" s="24">
        <v>4420</v>
      </c>
      <c r="G80" s="2">
        <v>4387</v>
      </c>
      <c r="H80" s="24">
        <v>4459</v>
      </c>
      <c r="I80" s="24">
        <v>4414</v>
      </c>
      <c r="J80" s="24">
        <v>4425</v>
      </c>
      <c r="K80" s="24">
        <v>4342</v>
      </c>
      <c r="L80" s="24">
        <v>4310</v>
      </c>
      <c r="M80" s="2">
        <v>4417</v>
      </c>
      <c r="N80" s="24">
        <v>4388</v>
      </c>
      <c r="O80" s="24">
        <v>4302</v>
      </c>
      <c r="P80" s="24">
        <v>4301</v>
      </c>
      <c r="Q80" s="24">
        <v>4305</v>
      </c>
    </row>
    <row r="81" spans="1:17" hidden="1">
      <c r="D81" s="2" t="s">
        <v>13</v>
      </c>
      <c r="F81" s="24">
        <v>0</v>
      </c>
      <c r="G81" s="2">
        <v>0</v>
      </c>
      <c r="H81" s="2">
        <v>0</v>
      </c>
      <c r="I81" s="2">
        <v>0</v>
      </c>
      <c r="J81" s="2">
        <v>0</v>
      </c>
      <c r="K81" s="24">
        <v>0</v>
      </c>
      <c r="L81" s="24">
        <v>0</v>
      </c>
      <c r="O81" s="24"/>
      <c r="P81" s="24"/>
      <c r="Q81" s="24"/>
    </row>
    <row r="82" spans="1:17">
      <c r="D82" s="2" t="s">
        <v>21</v>
      </c>
      <c r="F82" s="24">
        <v>41</v>
      </c>
      <c r="G82" s="2">
        <v>41</v>
      </c>
      <c r="H82" s="2">
        <v>42</v>
      </c>
      <c r="I82" s="2">
        <v>41</v>
      </c>
      <c r="J82" s="2">
        <v>41</v>
      </c>
      <c r="K82" s="24">
        <v>40</v>
      </c>
      <c r="L82" s="24">
        <v>40</v>
      </c>
      <c r="M82" s="2">
        <v>41</v>
      </c>
      <c r="N82" s="2">
        <v>41</v>
      </c>
      <c r="O82" s="24">
        <v>40</v>
      </c>
      <c r="P82" s="24">
        <v>40</v>
      </c>
      <c r="Q82" s="24">
        <v>40</v>
      </c>
    </row>
    <row r="83" spans="1:17" hidden="1">
      <c r="D83" s="2" t="s">
        <v>15</v>
      </c>
      <c r="F83" s="24">
        <v>0</v>
      </c>
      <c r="G83" s="2">
        <v>0</v>
      </c>
      <c r="H83" s="2">
        <v>0</v>
      </c>
      <c r="I83" s="2">
        <v>0</v>
      </c>
      <c r="J83" s="2">
        <v>0</v>
      </c>
      <c r="K83" s="24">
        <v>0</v>
      </c>
      <c r="L83" s="24">
        <v>0</v>
      </c>
    </row>
    <row r="86" spans="1:17">
      <c r="A86" s="8"/>
      <c r="B86" s="9"/>
      <c r="C86" s="9"/>
      <c r="D86" s="9"/>
    </row>
    <row r="87" spans="1:17">
      <c r="A87" s="2" t="s">
        <v>11</v>
      </c>
    </row>
    <row r="89" spans="1:17" hidden="1">
      <c r="A89" s="8"/>
      <c r="B89" s="9"/>
      <c r="C89" s="9"/>
      <c r="D89" s="9"/>
    </row>
    <row r="90" spans="1:17" hidden="1">
      <c r="A90" s="2" t="s">
        <v>11</v>
      </c>
    </row>
    <row r="91" spans="1:17" hidden="1"/>
    <row r="92" spans="1:17" hidden="1"/>
    <row r="93" spans="1:17" hidden="1"/>
    <row r="94" spans="1:17" hidden="1"/>
    <row r="95" spans="1:17" hidden="1"/>
    <row r="96" spans="1:17" hidden="1"/>
    <row r="97" spans="1:6" hidden="1"/>
    <row r="98" spans="1:6" hidden="1"/>
    <row r="99" spans="1:6" hidden="1"/>
    <row r="100" spans="1:6" hidden="1"/>
    <row r="101" spans="1:6" hidden="1"/>
    <row r="102" spans="1:6" hidden="1"/>
    <row r="103" spans="1:6">
      <c r="A103" s="185">
        <v>43853</v>
      </c>
      <c r="B103" s="185"/>
      <c r="C103" s="185"/>
      <c r="D103" s="185"/>
      <c r="E103" s="185"/>
      <c r="F103" s="185"/>
    </row>
  </sheetData>
  <mergeCells count="5">
    <mergeCell ref="A2:F2"/>
    <mergeCell ref="A3:F3"/>
    <mergeCell ref="A6:E6"/>
    <mergeCell ref="A65:E65"/>
    <mergeCell ref="A103:F103"/>
  </mergeCells>
  <printOptions horizontalCentered="1"/>
  <pageMargins left="0.23622047244094491" right="0" top="0.74803149606299213" bottom="0" header="0" footer="0"/>
  <pageSetup paperSize="9" scale="8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Q58"/>
  <sheetViews>
    <sheetView zoomScaleNormal="100" workbookViewId="0">
      <selection activeCell="A5" sqref="A5:Q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0.140625" style="2" customWidth="1"/>
    <col min="6" max="17" width="10.140625" style="2" bestFit="1" customWidth="1"/>
    <col min="18" max="16384" width="9.140625" style="2"/>
  </cols>
  <sheetData>
    <row r="1" spans="1:17">
      <c r="A1" s="19" t="s">
        <v>25</v>
      </c>
      <c r="B1" s="19"/>
      <c r="C1" s="19"/>
      <c r="D1" s="19"/>
      <c r="E1" s="19"/>
      <c r="F1" s="19"/>
    </row>
    <row r="2" spans="1:17">
      <c r="A2" s="19" t="s">
        <v>45</v>
      </c>
      <c r="B2" s="19"/>
      <c r="C2" s="19"/>
      <c r="D2" s="19"/>
      <c r="E2" s="19"/>
      <c r="F2" s="19"/>
    </row>
    <row r="3" spans="1:17">
      <c r="A3" s="4" t="s">
        <v>0</v>
      </c>
      <c r="B3" s="4"/>
      <c r="C3" s="4"/>
      <c r="D3" s="4"/>
      <c r="E3" s="4"/>
      <c r="F3" s="4"/>
    </row>
    <row r="4" spans="1:17" ht="12" customHeight="1">
      <c r="A4" s="4"/>
    </row>
    <row r="5" spans="1:17" ht="18" customHeight="1">
      <c r="A5" s="186" t="s">
        <v>1</v>
      </c>
      <c r="B5" s="187"/>
      <c r="C5" s="187"/>
      <c r="D5" s="187"/>
      <c r="E5" s="187"/>
      <c r="F5" s="163" t="s">
        <v>5</v>
      </c>
      <c r="G5" s="163" t="s">
        <v>23</v>
      </c>
      <c r="H5" s="163" t="s">
        <v>24</v>
      </c>
      <c r="I5" s="163" t="s">
        <v>26</v>
      </c>
      <c r="J5" s="163" t="s">
        <v>27</v>
      </c>
      <c r="K5" s="163" t="s">
        <v>36</v>
      </c>
      <c r="L5" s="163" t="s">
        <v>28</v>
      </c>
      <c r="M5" s="163" t="s">
        <v>29</v>
      </c>
      <c r="N5" s="163" t="s">
        <v>30</v>
      </c>
      <c r="O5" s="163" t="s">
        <v>31</v>
      </c>
      <c r="P5" s="163" t="s">
        <v>32</v>
      </c>
      <c r="Q5" s="165" t="s">
        <v>33</v>
      </c>
    </row>
    <row r="6" spans="1:17" ht="9" customHeight="1">
      <c r="A6" s="5"/>
      <c r="B6" s="5"/>
      <c r="C6" s="5"/>
      <c r="D6" s="5"/>
      <c r="E6" s="5"/>
      <c r="F6" s="5"/>
      <c r="G6" s="5"/>
    </row>
    <row r="7" spans="1:17" ht="14.25" customHeight="1">
      <c r="A7" s="1" t="s">
        <v>6</v>
      </c>
      <c r="B7" s="1"/>
      <c r="C7" s="1"/>
      <c r="D7" s="1"/>
      <c r="E7" s="1"/>
      <c r="F7" s="20">
        <v>4430785</v>
      </c>
      <c r="G7" s="20">
        <v>4429864</v>
      </c>
      <c r="H7" s="20">
        <v>4465776</v>
      </c>
      <c r="I7" s="20">
        <v>4498855</v>
      </c>
      <c r="J7" s="20">
        <v>4424338</v>
      </c>
      <c r="K7" s="20">
        <v>4579083</v>
      </c>
      <c r="L7" s="20">
        <v>4600534</v>
      </c>
      <c r="M7" s="20">
        <v>4572926</v>
      </c>
      <c r="N7" s="20">
        <v>4587774</v>
      </c>
      <c r="O7" s="20">
        <v>4620223</v>
      </c>
      <c r="P7" s="20">
        <v>4707987</v>
      </c>
      <c r="Q7" s="20">
        <v>4776859</v>
      </c>
    </row>
    <row r="8" spans="1:17">
      <c r="A8" s="1"/>
      <c r="B8" s="1" t="s">
        <v>37</v>
      </c>
      <c r="C8" s="1"/>
      <c r="D8" s="1"/>
      <c r="E8" s="1"/>
      <c r="F8" s="20">
        <v>948</v>
      </c>
      <c r="G8" s="20">
        <v>948</v>
      </c>
      <c r="H8" s="20">
        <v>948</v>
      </c>
      <c r="I8" s="20">
        <v>948</v>
      </c>
      <c r="J8" s="20">
        <v>948</v>
      </c>
      <c r="K8" s="20">
        <v>948</v>
      </c>
      <c r="L8" s="20">
        <v>948</v>
      </c>
      <c r="M8" s="20">
        <v>948</v>
      </c>
      <c r="N8" s="20">
        <v>948</v>
      </c>
      <c r="O8" s="20">
        <v>948</v>
      </c>
      <c r="P8" s="20">
        <v>948</v>
      </c>
      <c r="Q8" s="20">
        <v>948</v>
      </c>
    </row>
    <row r="9" spans="1:17">
      <c r="C9" s="2" t="s">
        <v>10</v>
      </c>
      <c r="F9" s="22">
        <v>156</v>
      </c>
      <c r="G9" s="22">
        <v>156</v>
      </c>
      <c r="H9" s="22">
        <v>156</v>
      </c>
      <c r="I9" s="22">
        <v>156</v>
      </c>
      <c r="J9" s="22">
        <v>156</v>
      </c>
      <c r="K9" s="22">
        <v>156</v>
      </c>
      <c r="L9" s="22">
        <v>156</v>
      </c>
      <c r="M9" s="22">
        <v>156</v>
      </c>
      <c r="N9" s="22">
        <v>156</v>
      </c>
      <c r="O9" s="22">
        <v>156</v>
      </c>
      <c r="P9" s="22">
        <v>156</v>
      </c>
      <c r="Q9" s="22">
        <v>156</v>
      </c>
    </row>
    <row r="10" spans="1:17">
      <c r="D10" s="2" t="s">
        <v>2</v>
      </c>
      <c r="F10" s="24">
        <v>156</v>
      </c>
      <c r="G10" s="24">
        <v>156</v>
      </c>
      <c r="H10" s="24">
        <v>156</v>
      </c>
      <c r="I10" s="24">
        <v>156</v>
      </c>
      <c r="J10" s="24">
        <v>156</v>
      </c>
      <c r="K10" s="24">
        <v>156</v>
      </c>
      <c r="L10" s="24">
        <v>156</v>
      </c>
      <c r="M10" s="24">
        <v>156</v>
      </c>
      <c r="N10" s="24">
        <v>156</v>
      </c>
      <c r="O10" s="24">
        <v>156</v>
      </c>
      <c r="P10" s="24">
        <v>156</v>
      </c>
      <c r="Q10" s="24">
        <v>156</v>
      </c>
    </row>
    <row r="11" spans="1:17">
      <c r="D11" s="2" t="s">
        <v>3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</row>
    <row r="12" spans="1:17">
      <c r="C12" s="2" t="s">
        <v>4</v>
      </c>
      <c r="F12" s="22">
        <v>792</v>
      </c>
      <c r="G12" s="22">
        <v>792</v>
      </c>
      <c r="H12" s="22">
        <v>792</v>
      </c>
      <c r="I12" s="22">
        <v>792</v>
      </c>
      <c r="J12" s="22">
        <v>792</v>
      </c>
      <c r="K12" s="22">
        <v>792</v>
      </c>
      <c r="L12" s="22">
        <v>792</v>
      </c>
      <c r="M12" s="22">
        <v>792</v>
      </c>
      <c r="N12" s="22">
        <v>792</v>
      </c>
      <c r="O12" s="22">
        <v>792</v>
      </c>
      <c r="P12" s="22">
        <v>792</v>
      </c>
      <c r="Q12" s="22">
        <v>792</v>
      </c>
    </row>
    <row r="13" spans="1:17">
      <c r="D13" s="2" t="s">
        <v>12</v>
      </c>
      <c r="F13" s="24">
        <v>350</v>
      </c>
      <c r="G13" s="24">
        <v>350</v>
      </c>
      <c r="H13" s="24">
        <v>350</v>
      </c>
      <c r="I13" s="24">
        <v>350</v>
      </c>
      <c r="J13" s="24">
        <v>350</v>
      </c>
      <c r="K13" s="24">
        <v>350</v>
      </c>
      <c r="L13" s="24">
        <v>350</v>
      </c>
      <c r="M13" s="24">
        <v>350</v>
      </c>
      <c r="N13" s="24">
        <v>350</v>
      </c>
      <c r="O13" s="24">
        <v>350</v>
      </c>
      <c r="P13" s="24">
        <v>350</v>
      </c>
      <c r="Q13" s="24">
        <v>350</v>
      </c>
    </row>
    <row r="14" spans="1:17">
      <c r="D14" s="2" t="s">
        <v>13</v>
      </c>
      <c r="F14" s="24">
        <v>442</v>
      </c>
      <c r="G14" s="24">
        <v>442</v>
      </c>
      <c r="H14" s="24">
        <v>442</v>
      </c>
      <c r="I14" s="24">
        <v>442</v>
      </c>
      <c r="J14" s="24">
        <v>442</v>
      </c>
      <c r="K14" s="24">
        <v>442</v>
      </c>
      <c r="L14" s="24">
        <v>442</v>
      </c>
      <c r="M14" s="24">
        <v>442</v>
      </c>
      <c r="N14" s="24">
        <v>442</v>
      </c>
      <c r="O14" s="24">
        <v>442</v>
      </c>
      <c r="P14" s="24">
        <v>442</v>
      </c>
      <c r="Q14" s="24">
        <v>442</v>
      </c>
    </row>
    <row r="15" spans="1:17" hidden="1">
      <c r="D15" s="2" t="s">
        <v>14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</row>
    <row r="16" spans="1:17" hidden="1">
      <c r="D16" s="2" t="s">
        <v>15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</row>
    <row r="17" spans="1:17" ht="8.25" customHeight="1">
      <c r="F17" s="24"/>
      <c r="G17" s="24"/>
      <c r="H17" s="24"/>
      <c r="I17" s="24"/>
    </row>
    <row r="18" spans="1:17" s="1" customFormat="1" ht="15" customHeight="1">
      <c r="B18" s="1" t="s">
        <v>38</v>
      </c>
      <c r="F18" s="27">
        <v>4429837</v>
      </c>
      <c r="G18" s="27">
        <v>4428916</v>
      </c>
      <c r="H18" s="27">
        <v>4464828</v>
      </c>
      <c r="I18" s="27">
        <v>4497907</v>
      </c>
      <c r="J18" s="27">
        <v>4423390</v>
      </c>
      <c r="K18" s="27">
        <v>4578135</v>
      </c>
      <c r="L18" s="27">
        <v>4599586</v>
      </c>
      <c r="M18" s="37">
        <v>4571978</v>
      </c>
      <c r="N18" s="27">
        <v>4586826</v>
      </c>
      <c r="O18" s="27">
        <v>4619275</v>
      </c>
      <c r="P18" s="27">
        <v>4707039</v>
      </c>
      <c r="Q18" s="27">
        <v>4775911</v>
      </c>
    </row>
    <row r="19" spans="1:17">
      <c r="F19" s="24"/>
      <c r="G19" s="24"/>
      <c r="H19" s="24"/>
      <c r="I19" s="24"/>
    </row>
    <row r="20" spans="1:17" ht="15" customHeight="1">
      <c r="A20" s="1" t="s">
        <v>41</v>
      </c>
      <c r="B20" s="1"/>
      <c r="C20" s="1"/>
      <c r="D20" s="1"/>
      <c r="E20" s="1"/>
      <c r="F20" s="20">
        <v>2295306</v>
      </c>
      <c r="G20" s="20">
        <v>2390796</v>
      </c>
      <c r="H20" s="20">
        <v>2413113</v>
      </c>
      <c r="I20" s="20">
        <v>2375853</v>
      </c>
      <c r="J20" s="20">
        <v>2408234</v>
      </c>
      <c r="K20" s="20">
        <v>2437108</v>
      </c>
      <c r="L20" s="20">
        <v>2443052</v>
      </c>
      <c r="M20" s="20">
        <v>2530928</v>
      </c>
      <c r="N20" s="20">
        <v>2572002</v>
      </c>
      <c r="O20" s="20">
        <v>2546856</v>
      </c>
      <c r="P20" s="20">
        <v>2487031</v>
      </c>
      <c r="Q20" s="20">
        <v>2515641</v>
      </c>
    </row>
    <row r="21" spans="1:17">
      <c r="A21" s="1"/>
      <c r="B21" s="1" t="s">
        <v>37</v>
      </c>
      <c r="C21" s="1"/>
      <c r="D21" s="1"/>
      <c r="E21" s="1"/>
      <c r="F21" s="20">
        <v>895775</v>
      </c>
      <c r="G21" s="20">
        <v>918774</v>
      </c>
      <c r="H21" s="20">
        <v>924084</v>
      </c>
      <c r="I21" s="20">
        <v>901959</v>
      </c>
      <c r="J21" s="20">
        <v>912720</v>
      </c>
      <c r="K21" s="20">
        <v>920690</v>
      </c>
      <c r="L21" s="20">
        <v>933848</v>
      </c>
      <c r="M21" s="20">
        <v>939011</v>
      </c>
      <c r="N21" s="20">
        <v>965925</v>
      </c>
      <c r="O21" s="20">
        <v>955869</v>
      </c>
      <c r="P21" s="20">
        <v>927879</v>
      </c>
      <c r="Q21" s="20">
        <v>947261</v>
      </c>
    </row>
    <row r="22" spans="1:17" ht="15.75" customHeight="1">
      <c r="C22" s="2" t="s">
        <v>10</v>
      </c>
      <c r="F22" s="32">
        <v>895775</v>
      </c>
      <c r="G22" s="32">
        <v>918774</v>
      </c>
      <c r="H22" s="32">
        <v>924084</v>
      </c>
      <c r="I22" s="32">
        <v>901959</v>
      </c>
      <c r="J22" s="32">
        <v>912720</v>
      </c>
      <c r="K22" s="32">
        <v>920690</v>
      </c>
      <c r="L22" s="32">
        <v>933848</v>
      </c>
      <c r="M22" s="32">
        <v>939011</v>
      </c>
      <c r="N22" s="32">
        <v>965925</v>
      </c>
      <c r="O22" s="32">
        <v>955869</v>
      </c>
      <c r="P22" s="32">
        <v>927879</v>
      </c>
      <c r="Q22" s="32">
        <v>947261</v>
      </c>
    </row>
    <row r="23" spans="1:17">
      <c r="D23" s="2" t="s">
        <v>2</v>
      </c>
      <c r="F23" s="24">
        <v>869316</v>
      </c>
      <c r="G23" s="24">
        <v>891637</v>
      </c>
      <c r="H23" s="24">
        <v>897165</v>
      </c>
      <c r="I23" s="24">
        <v>876389</v>
      </c>
      <c r="J23" s="24">
        <v>886578</v>
      </c>
      <c r="K23" s="24">
        <v>894763</v>
      </c>
      <c r="L23" s="24">
        <v>908332</v>
      </c>
      <c r="M23" s="40">
        <v>913458</v>
      </c>
      <c r="N23" s="24">
        <v>941070</v>
      </c>
      <c r="O23" s="24">
        <v>931392</v>
      </c>
      <c r="P23" s="24">
        <v>904109</v>
      </c>
      <c r="Q23" s="24">
        <v>922820</v>
      </c>
    </row>
    <row r="24" spans="1:17">
      <c r="D24" s="2" t="s">
        <v>3</v>
      </c>
      <c r="F24" s="24">
        <v>26459</v>
      </c>
      <c r="G24" s="24">
        <v>27137</v>
      </c>
      <c r="H24" s="24">
        <v>26919</v>
      </c>
      <c r="I24" s="24">
        <v>25570</v>
      </c>
      <c r="J24" s="24">
        <v>26142</v>
      </c>
      <c r="K24" s="24">
        <v>25927</v>
      </c>
      <c r="L24" s="24">
        <v>25516</v>
      </c>
      <c r="M24" s="40">
        <v>25553</v>
      </c>
      <c r="N24" s="24">
        <v>24855</v>
      </c>
      <c r="O24" s="24">
        <v>24477</v>
      </c>
      <c r="P24" s="24">
        <v>23770</v>
      </c>
      <c r="Q24" s="24">
        <v>24441</v>
      </c>
    </row>
    <row r="25" spans="1:17">
      <c r="C25" s="2" t="s">
        <v>4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</row>
    <row r="26" spans="1:17" hidden="1">
      <c r="D26" s="2" t="s">
        <v>12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</row>
    <row r="27" spans="1:17" hidden="1">
      <c r="D27" s="2" t="s">
        <v>13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</row>
    <row r="28" spans="1:17" hidden="1">
      <c r="D28" s="2" t="s">
        <v>14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</row>
    <row r="29" spans="1:17" hidden="1">
      <c r="D29" s="2" t="s">
        <v>15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</row>
    <row r="30" spans="1:17" hidden="1">
      <c r="D30" s="2" t="s">
        <v>16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</row>
    <row r="31" spans="1:17" ht="11.25" customHeight="1">
      <c r="F31" s="24"/>
      <c r="G31" s="24"/>
      <c r="H31" s="24"/>
      <c r="I31" s="24"/>
    </row>
    <row r="32" spans="1:17" s="1" customFormat="1">
      <c r="B32" s="1" t="s">
        <v>38</v>
      </c>
      <c r="F32" s="27">
        <v>1399531</v>
      </c>
      <c r="G32" s="27">
        <v>1472022</v>
      </c>
      <c r="H32" s="27">
        <v>1489029</v>
      </c>
      <c r="I32" s="27">
        <v>1473894</v>
      </c>
      <c r="J32" s="27">
        <v>1495514</v>
      </c>
      <c r="K32" s="27">
        <v>1516418</v>
      </c>
      <c r="L32" s="27">
        <v>1509204</v>
      </c>
      <c r="M32" s="37">
        <v>1591917</v>
      </c>
      <c r="N32" s="27">
        <v>1606077</v>
      </c>
      <c r="O32" s="27">
        <v>1590987</v>
      </c>
      <c r="P32" s="27">
        <v>1559152</v>
      </c>
      <c r="Q32" s="27">
        <v>1568380</v>
      </c>
    </row>
    <row r="34" spans="1:17" ht="18.75" customHeight="1">
      <c r="C34" s="6" t="s">
        <v>7</v>
      </c>
      <c r="D34" s="6"/>
      <c r="E34" s="6"/>
      <c r="F34" s="7">
        <v>6726091</v>
      </c>
      <c r="G34" s="7">
        <v>6820660</v>
      </c>
      <c r="H34" s="7">
        <v>6878889</v>
      </c>
      <c r="I34" s="7">
        <v>6874708</v>
      </c>
      <c r="J34" s="7">
        <v>6832572</v>
      </c>
      <c r="K34" s="7">
        <v>7016191</v>
      </c>
      <c r="L34" s="7">
        <v>7043586</v>
      </c>
      <c r="M34" s="7">
        <v>7103854</v>
      </c>
      <c r="N34" s="7">
        <v>7159776</v>
      </c>
      <c r="O34" s="7">
        <v>7167079</v>
      </c>
      <c r="P34" s="7">
        <v>7195018</v>
      </c>
      <c r="Q34" s="7">
        <v>7292500</v>
      </c>
    </row>
    <row r="35" spans="1:17">
      <c r="A35" s="8"/>
      <c r="B35" s="9"/>
      <c r="C35" s="9"/>
      <c r="D35" s="9"/>
    </row>
    <row r="36" spans="1:17">
      <c r="A36" s="2" t="s">
        <v>11</v>
      </c>
    </row>
    <row r="37" spans="1:17">
      <c r="A37" s="1"/>
    </row>
    <row r="38" spans="1:17" s="11" customFormat="1">
      <c r="A38" s="10" t="s">
        <v>8</v>
      </c>
      <c r="B38" s="10"/>
      <c r="C38" s="10"/>
      <c r="D38" s="10"/>
      <c r="E38" s="10"/>
      <c r="F38" s="10">
        <v>51.341000000000001</v>
      </c>
      <c r="G38" s="11">
        <v>52.07</v>
      </c>
      <c r="H38" s="11">
        <v>52.25</v>
      </c>
      <c r="I38" s="11">
        <v>51.734000000000002</v>
      </c>
      <c r="J38" s="11">
        <v>52.554000000000002</v>
      </c>
      <c r="K38" s="11">
        <v>53.404000000000003</v>
      </c>
      <c r="L38" s="11">
        <v>53.16</v>
      </c>
      <c r="M38" s="11">
        <v>53.475000000000001</v>
      </c>
      <c r="N38" s="11">
        <v>54.101999999999997</v>
      </c>
      <c r="O38" s="11">
        <v>53.527000000000001</v>
      </c>
      <c r="P38" s="11">
        <v>52.389000000000003</v>
      </c>
      <c r="Q38" s="11">
        <v>52.563000000000002</v>
      </c>
    </row>
    <row r="39" spans="1:17" s="11" customFormat="1">
      <c r="A39" s="10"/>
      <c r="B39" s="10"/>
      <c r="C39" s="10"/>
      <c r="D39" s="10"/>
      <c r="E39" s="10"/>
    </row>
    <row r="40" spans="1:17" s="11" customFormat="1">
      <c r="A40" s="10"/>
      <c r="B40" s="10"/>
      <c r="C40" s="10"/>
      <c r="D40" s="10"/>
      <c r="E40" s="10"/>
    </row>
    <row r="41" spans="1:17">
      <c r="A41" s="11" t="s">
        <v>22</v>
      </c>
    </row>
    <row r="42" spans="1:17">
      <c r="A42" s="11"/>
    </row>
    <row r="43" spans="1:17">
      <c r="A43" s="188">
        <v>43486</v>
      </c>
      <c r="B43" s="188"/>
      <c r="C43" s="188"/>
      <c r="D43" s="188"/>
      <c r="E43" s="188"/>
      <c r="F43" s="188"/>
    </row>
    <row r="44" spans="1:17">
      <c r="E44" s="11"/>
    </row>
    <row r="45" spans="1:17">
      <c r="A45" s="12"/>
      <c r="E45" s="11"/>
    </row>
    <row r="46" spans="1:17">
      <c r="A46" s="12"/>
      <c r="E46" s="11"/>
    </row>
    <row r="47" spans="1:17">
      <c r="A47" s="12"/>
      <c r="E47" s="11"/>
    </row>
    <row r="48" spans="1:17">
      <c r="A48" s="12"/>
      <c r="E48" s="11"/>
    </row>
    <row r="49" spans="1:5">
      <c r="A49" s="12"/>
      <c r="E49" s="11"/>
    </row>
    <row r="50" spans="1:5">
      <c r="A50" s="12"/>
      <c r="E50" s="11"/>
    </row>
    <row r="51" spans="1:5">
      <c r="A51" s="12"/>
      <c r="E51" s="11"/>
    </row>
    <row r="52" spans="1:5">
      <c r="A52" s="12"/>
      <c r="E52" s="11"/>
    </row>
    <row r="53" spans="1:5">
      <c r="A53" s="12"/>
      <c r="E53" s="11"/>
    </row>
    <row r="54" spans="1:5">
      <c r="A54" s="12"/>
      <c r="E54" s="11"/>
    </row>
    <row r="55" spans="1:5">
      <c r="A55" s="12"/>
      <c r="E55" s="11"/>
    </row>
    <row r="56" spans="1:5">
      <c r="A56" s="12"/>
      <c r="E56" s="11"/>
    </row>
    <row r="57" spans="1:5">
      <c r="A57" s="12"/>
      <c r="E57" s="11"/>
    </row>
    <row r="58" spans="1:5">
      <c r="A58" s="12"/>
      <c r="E58" s="11"/>
    </row>
  </sheetData>
  <mergeCells count="2">
    <mergeCell ref="A5:E5"/>
    <mergeCell ref="A43:F43"/>
  </mergeCells>
  <printOptions horizontalCentered="1"/>
  <pageMargins left="0.51181102362204722" right="0" top="0.74803149606299213" bottom="0" header="0" footer="0"/>
  <pageSetup paperSize="9" scale="7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3CE5-C84E-4468-8340-E1695FB34CFF}">
  <sheetPr>
    <pageSetUpPr fitToPage="1"/>
  </sheetPr>
  <dimension ref="A1:HM103"/>
  <sheetViews>
    <sheetView topLeftCell="A61" zoomScaleNormal="100" workbookViewId="0">
      <pane xSplit="5" ySplit="7" topLeftCell="F68" activePane="bottomRight" state="frozen"/>
      <selection activeCell="M88" sqref="M88"/>
      <selection pane="topRight" activeCell="M88" sqref="M88"/>
      <selection pane="bottomLeft" activeCell="M88" sqref="M88"/>
      <selection pane="bottomRight" activeCell="AA86" sqref="AA86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0" style="2" customWidth="1"/>
    <col min="6" max="17" width="9.5703125" style="2" customWidth="1"/>
    <col min="18" max="31" width="9.140625" style="2" customWidth="1"/>
    <col min="32" max="16384" width="9.140625" style="2"/>
  </cols>
  <sheetData>
    <row r="1" spans="1:6" hidden="1">
      <c r="A1" s="19" t="s">
        <v>25</v>
      </c>
      <c r="B1" s="19"/>
      <c r="C1" s="19"/>
      <c r="D1" s="19"/>
      <c r="E1" s="19"/>
      <c r="F1" s="19"/>
    </row>
    <row r="2" spans="1:6" hidden="1">
      <c r="A2" s="180" t="s">
        <v>174</v>
      </c>
      <c r="B2" s="180"/>
      <c r="C2" s="180"/>
      <c r="D2" s="180"/>
      <c r="E2" s="180"/>
      <c r="F2" s="180"/>
    </row>
    <row r="3" spans="1:6" hidden="1">
      <c r="A3" s="181" t="s">
        <v>0</v>
      </c>
      <c r="B3" s="181"/>
      <c r="C3" s="181"/>
      <c r="D3" s="181"/>
      <c r="E3" s="181"/>
      <c r="F3" s="181"/>
    </row>
    <row r="4" spans="1:6" hidden="1">
      <c r="A4" s="4"/>
    </row>
    <row r="5" spans="1:6" hidden="1">
      <c r="A5" s="4"/>
    </row>
    <row r="6" spans="1:6" ht="16.5" hidden="1" customHeight="1">
      <c r="A6" s="182" t="s">
        <v>1</v>
      </c>
      <c r="B6" s="183"/>
      <c r="C6" s="183"/>
      <c r="D6" s="183"/>
      <c r="E6" s="183"/>
      <c r="F6" s="74" t="s">
        <v>5</v>
      </c>
    </row>
    <row r="7" spans="1:6" ht="16.5" hidden="1" customHeight="1">
      <c r="A7" s="46"/>
      <c r="B7" s="46"/>
      <c r="C7" s="46"/>
      <c r="D7" s="46"/>
      <c r="E7" s="46"/>
      <c r="F7" s="47"/>
    </row>
    <row r="8" spans="1:6" ht="14.25" hidden="1" customHeight="1">
      <c r="A8" s="1" t="s">
        <v>6</v>
      </c>
      <c r="B8" s="1"/>
      <c r="C8" s="1"/>
      <c r="D8" s="1"/>
      <c r="E8" s="1"/>
      <c r="F8" s="13">
        <f>+F10+F15</f>
        <v>3620441</v>
      </c>
    </row>
    <row r="9" spans="1:6" hidden="1">
      <c r="A9" s="1"/>
      <c r="B9" s="1"/>
      <c r="C9" s="1"/>
      <c r="D9" s="1"/>
      <c r="E9" s="1"/>
      <c r="F9" s="13"/>
    </row>
    <row r="10" spans="1:6" hidden="1">
      <c r="B10" s="2" t="s">
        <v>9</v>
      </c>
      <c r="F10" s="14">
        <f>+F11+F12+F13</f>
        <v>3619999</v>
      </c>
    </row>
    <row r="11" spans="1:6" ht="15" hidden="1" customHeight="1">
      <c r="C11" s="2" t="s">
        <v>169</v>
      </c>
      <c r="F11" s="15">
        <v>3619843</v>
      </c>
    </row>
    <row r="12" spans="1:6" hidden="1">
      <c r="C12" s="2" t="s">
        <v>2</v>
      </c>
      <c r="F12" s="15">
        <v>156</v>
      </c>
    </row>
    <row r="13" spans="1:6" hidden="1">
      <c r="C13" s="2" t="s">
        <v>3</v>
      </c>
      <c r="F13" s="15">
        <v>0</v>
      </c>
    </row>
    <row r="14" spans="1:6" ht="8.25" hidden="1" customHeight="1">
      <c r="F14" s="15"/>
    </row>
    <row r="15" spans="1:6" hidden="1">
      <c r="B15" s="2" t="s">
        <v>4</v>
      </c>
      <c r="F15" s="14">
        <f>SUM(F16:F19)</f>
        <v>442</v>
      </c>
    </row>
    <row r="16" spans="1:6" hidden="1">
      <c r="C16" s="2" t="s">
        <v>12</v>
      </c>
      <c r="F16" s="15">
        <v>0</v>
      </c>
    </row>
    <row r="17" spans="1:6" hidden="1">
      <c r="C17" s="2" t="s">
        <v>13</v>
      </c>
      <c r="F17" s="15">
        <v>442</v>
      </c>
    </row>
    <row r="18" spans="1:6" hidden="1">
      <c r="C18" s="2" t="s">
        <v>14</v>
      </c>
      <c r="F18" s="15">
        <v>0</v>
      </c>
    </row>
    <row r="19" spans="1:6" hidden="1">
      <c r="C19" s="2" t="s">
        <v>15</v>
      </c>
      <c r="F19" s="15">
        <v>0</v>
      </c>
    </row>
    <row r="20" spans="1:6" hidden="1">
      <c r="F20" s="15"/>
    </row>
    <row r="21" spans="1:6" ht="15" hidden="1" customHeight="1">
      <c r="A21" s="1" t="s">
        <v>170</v>
      </c>
      <c r="B21" s="1"/>
      <c r="C21" s="1"/>
      <c r="D21" s="1"/>
      <c r="E21" s="1"/>
      <c r="F21" s="13">
        <f>+F22+F26+F33</f>
        <v>1973306</v>
      </c>
    </row>
    <row r="22" spans="1:6" ht="15.75" hidden="1" customHeight="1">
      <c r="B22" s="2" t="s">
        <v>10</v>
      </c>
      <c r="F22" s="14">
        <f>+F23+F24</f>
        <v>719517</v>
      </c>
    </row>
    <row r="23" spans="1:6" hidden="1">
      <c r="C23" s="2" t="s">
        <v>2</v>
      </c>
      <c r="F23" s="15">
        <v>679732</v>
      </c>
    </row>
    <row r="24" spans="1:6" hidden="1">
      <c r="C24" s="2" t="s">
        <v>3</v>
      </c>
      <c r="F24" s="15">
        <v>39785</v>
      </c>
    </row>
    <row r="25" spans="1:6" ht="9" hidden="1" customHeight="1">
      <c r="F25" s="14"/>
    </row>
    <row r="26" spans="1:6" hidden="1">
      <c r="B26" s="2" t="s">
        <v>4</v>
      </c>
      <c r="F26" s="14">
        <f>SUM(F27:F31)</f>
        <v>0</v>
      </c>
    </row>
    <row r="27" spans="1:6" hidden="1">
      <c r="D27" s="2" t="s">
        <v>12</v>
      </c>
      <c r="F27" s="15">
        <v>0</v>
      </c>
    </row>
    <row r="28" spans="1:6" hidden="1">
      <c r="D28" s="2" t="s">
        <v>13</v>
      </c>
      <c r="F28" s="15">
        <v>0</v>
      </c>
    </row>
    <row r="29" spans="1:6" hidden="1">
      <c r="D29" s="2" t="s">
        <v>14</v>
      </c>
      <c r="F29" s="15">
        <v>0</v>
      </c>
    </row>
    <row r="30" spans="1:6" hidden="1">
      <c r="D30" s="2" t="s">
        <v>15</v>
      </c>
      <c r="F30" s="15">
        <v>0</v>
      </c>
    </row>
    <row r="31" spans="1:6" hidden="1">
      <c r="D31" s="2" t="s">
        <v>16</v>
      </c>
      <c r="F31" s="15">
        <v>0</v>
      </c>
    </row>
    <row r="32" spans="1:6" ht="11.25" hidden="1" customHeight="1">
      <c r="F32" s="15"/>
    </row>
    <row r="33" spans="1:221" hidden="1">
      <c r="B33" s="2" t="s">
        <v>173</v>
      </c>
      <c r="F33" s="15">
        <v>1253789</v>
      </c>
    </row>
    <row r="34" spans="1:221" hidden="1">
      <c r="HM34" s="2">
        <v>0</v>
      </c>
    </row>
    <row r="35" spans="1:221" hidden="1"/>
    <row r="36" spans="1:221" hidden="1">
      <c r="C36" s="1" t="s">
        <v>7</v>
      </c>
      <c r="D36" s="1"/>
      <c r="E36" s="1"/>
      <c r="F36" s="41">
        <f>+F8+F21+1</f>
        <v>5593748</v>
      </c>
    </row>
    <row r="37" spans="1:221" hidden="1">
      <c r="A37" s="8"/>
      <c r="B37" s="9"/>
      <c r="C37" s="9"/>
      <c r="D37" s="9"/>
    </row>
    <row r="38" spans="1:221" hidden="1">
      <c r="A38" s="2" t="s">
        <v>11</v>
      </c>
    </row>
    <row r="39" spans="1:221" hidden="1">
      <c r="A39" s="1"/>
    </row>
    <row r="40" spans="1:221" s="11" customFormat="1" hidden="1">
      <c r="A40" s="10" t="s">
        <v>8</v>
      </c>
      <c r="B40" s="10"/>
      <c r="C40" s="10"/>
      <c r="D40" s="10"/>
      <c r="E40" s="10"/>
      <c r="F40" s="71">
        <v>45.2</v>
      </c>
    </row>
    <row r="41" spans="1:221" s="11" customFormat="1" hidden="1">
      <c r="A41" s="10"/>
      <c r="B41" s="10"/>
      <c r="C41" s="10"/>
      <c r="D41" s="10"/>
      <c r="E41" s="10"/>
    </row>
    <row r="42" spans="1:221" s="11" customFormat="1" hidden="1">
      <c r="A42" s="10"/>
      <c r="B42" s="10"/>
      <c r="C42" s="10"/>
      <c r="D42" s="10"/>
      <c r="E42" s="10"/>
    </row>
    <row r="43" spans="1:221" hidden="1">
      <c r="A43" s="11" t="s">
        <v>22</v>
      </c>
    </row>
    <row r="44" spans="1:221" hidden="1">
      <c r="A44" s="11"/>
    </row>
    <row r="45" spans="1:221" hidden="1">
      <c r="A45" s="48"/>
      <c r="E45" s="11"/>
    </row>
    <row r="46" spans="1:221" hidden="1">
      <c r="A46" s="12"/>
      <c r="E46" s="11"/>
    </row>
    <row r="47" spans="1:221" hidden="1">
      <c r="A47" s="12"/>
      <c r="E47" s="11"/>
    </row>
    <row r="48" spans="1:221" hidden="1">
      <c r="A48" s="12"/>
      <c r="E48" s="11"/>
    </row>
    <row r="49" spans="1:6" hidden="1">
      <c r="A49" s="12"/>
      <c r="E49" s="11"/>
    </row>
    <row r="50" spans="1:6" hidden="1">
      <c r="A50" s="12"/>
      <c r="E50" s="11"/>
    </row>
    <row r="51" spans="1:6" hidden="1">
      <c r="A51" s="12"/>
      <c r="E51" s="11"/>
    </row>
    <row r="52" spans="1:6" hidden="1">
      <c r="A52" s="12"/>
      <c r="E52" s="11"/>
    </row>
    <row r="53" spans="1:6" hidden="1">
      <c r="A53" s="12"/>
      <c r="E53" s="11"/>
    </row>
    <row r="54" spans="1:6" hidden="1">
      <c r="A54" s="12"/>
      <c r="E54" s="11"/>
    </row>
    <row r="55" spans="1:6" hidden="1">
      <c r="A55" s="12"/>
      <c r="E55" s="11"/>
    </row>
    <row r="56" spans="1:6" hidden="1">
      <c r="A56" s="12"/>
      <c r="E56" s="11"/>
    </row>
    <row r="57" spans="1:6" hidden="1">
      <c r="A57" s="12"/>
      <c r="E57" s="11"/>
    </row>
    <row r="58" spans="1:6" hidden="1">
      <c r="A58" s="12"/>
      <c r="E58" s="11"/>
    </row>
    <row r="59" spans="1:6" hidden="1">
      <c r="A59" s="12"/>
      <c r="E59" s="11"/>
    </row>
    <row r="60" spans="1:6" hidden="1">
      <c r="A60" s="12"/>
      <c r="E60" s="11"/>
    </row>
    <row r="61" spans="1:6">
      <c r="A61" s="19" t="s">
        <v>138</v>
      </c>
      <c r="B61" s="19"/>
      <c r="C61" s="19"/>
      <c r="D61" s="19"/>
      <c r="E61" s="19"/>
      <c r="F61" s="19"/>
    </row>
    <row r="62" spans="1:6">
      <c r="A62" s="19" t="str">
        <f>'[5]2018'!A2</f>
        <v>As of December 2018</v>
      </c>
      <c r="B62" s="19"/>
      <c r="C62" s="19"/>
      <c r="D62" s="19"/>
      <c r="E62" s="19"/>
      <c r="F62" s="19"/>
    </row>
    <row r="63" spans="1:6">
      <c r="A63" s="4" t="s">
        <v>0</v>
      </c>
      <c r="B63" s="4"/>
      <c r="C63" s="4"/>
      <c r="D63" s="4"/>
      <c r="E63" s="4"/>
      <c r="F63" s="4"/>
    </row>
    <row r="64" spans="1:6" ht="8.25" customHeight="1">
      <c r="A64" s="73"/>
      <c r="B64" s="73"/>
      <c r="C64" s="73"/>
      <c r="D64" s="73"/>
      <c r="E64" s="73"/>
      <c r="F64" s="73"/>
    </row>
    <row r="65" spans="1:17" ht="17.25" customHeight="1">
      <c r="A65" s="184" t="s">
        <v>1</v>
      </c>
      <c r="B65" s="184"/>
      <c r="C65" s="184"/>
      <c r="D65" s="184"/>
      <c r="E65" s="184"/>
      <c r="F65" s="161" t="s">
        <v>5</v>
      </c>
      <c r="G65" s="161" t="s">
        <v>23</v>
      </c>
      <c r="H65" s="161" t="s">
        <v>24</v>
      </c>
      <c r="I65" s="161" t="s">
        <v>26</v>
      </c>
      <c r="J65" s="161" t="s">
        <v>27</v>
      </c>
      <c r="K65" s="161" t="s">
        <v>36</v>
      </c>
      <c r="L65" s="161" t="s">
        <v>28</v>
      </c>
      <c r="M65" s="161" t="s">
        <v>29</v>
      </c>
      <c r="N65" s="161" t="s">
        <v>30</v>
      </c>
      <c r="O65" s="161" t="s">
        <v>31</v>
      </c>
      <c r="P65" s="161" t="s">
        <v>32</v>
      </c>
      <c r="Q65" s="161" t="s">
        <v>33</v>
      </c>
    </row>
    <row r="66" spans="1:17" ht="9" customHeight="1"/>
    <row r="67" spans="1:17" ht="17.25" customHeight="1">
      <c r="A67" s="6" t="s">
        <v>17</v>
      </c>
      <c r="B67" s="6"/>
      <c r="C67" s="6"/>
      <c r="D67" s="6"/>
      <c r="E67" s="6"/>
      <c r="F67" s="155">
        <f t="shared" ref="F67:Q67" si="0">+F69+F76</f>
        <v>489454</v>
      </c>
      <c r="G67" s="155">
        <f t="shared" si="0"/>
        <v>503682</v>
      </c>
      <c r="H67" s="155">
        <f t="shared" si="0"/>
        <v>501820</v>
      </c>
      <c r="I67" s="155">
        <f t="shared" si="0"/>
        <v>494445</v>
      </c>
      <c r="J67" s="155">
        <f t="shared" si="0"/>
        <v>492296</v>
      </c>
      <c r="K67" s="155">
        <f t="shared" si="0"/>
        <v>488160</v>
      </c>
      <c r="L67" s="155">
        <f t="shared" si="0"/>
        <v>483899</v>
      </c>
      <c r="M67" s="155">
        <f t="shared" si="0"/>
        <v>484968</v>
      </c>
      <c r="N67" s="155">
        <f t="shared" si="0"/>
        <v>481303</v>
      </c>
      <c r="O67" s="155">
        <f t="shared" si="0"/>
        <v>484711</v>
      </c>
      <c r="P67" s="155">
        <f t="shared" si="0"/>
        <v>471799</v>
      </c>
      <c r="Q67" s="155">
        <f t="shared" si="0"/>
        <v>487586</v>
      </c>
    </row>
    <row r="68" spans="1:17">
      <c r="A68" s="1"/>
      <c r="B68" s="1"/>
      <c r="C68" s="1"/>
      <c r="D68" s="1"/>
      <c r="E68" s="1"/>
      <c r="F68" s="20"/>
      <c r="G68" s="20"/>
      <c r="H68" s="20"/>
      <c r="I68" s="20"/>
      <c r="J68" s="20"/>
      <c r="K68" s="20"/>
      <c r="L68" s="20"/>
    </row>
    <row r="69" spans="1:17">
      <c r="A69" s="1"/>
      <c r="B69" s="1" t="s">
        <v>18</v>
      </c>
      <c r="C69" s="1"/>
      <c r="D69" s="1"/>
      <c r="E69" s="1"/>
      <c r="F69" s="20">
        <f t="shared" ref="F69:Q69" si="1">+F71+F72</f>
        <v>197173</v>
      </c>
      <c r="G69" s="20">
        <f t="shared" si="1"/>
        <v>204461</v>
      </c>
      <c r="H69" s="20">
        <f t="shared" si="1"/>
        <v>203129</v>
      </c>
      <c r="I69" s="20">
        <f t="shared" si="1"/>
        <v>203309</v>
      </c>
      <c r="J69" s="20">
        <f t="shared" si="1"/>
        <v>194939</v>
      </c>
      <c r="K69" s="20">
        <f t="shared" si="1"/>
        <v>190425</v>
      </c>
      <c r="L69" s="20">
        <f t="shared" si="1"/>
        <v>189286</v>
      </c>
      <c r="M69" s="20">
        <f t="shared" si="1"/>
        <v>188014</v>
      </c>
      <c r="N69" s="20">
        <f t="shared" si="1"/>
        <v>186217</v>
      </c>
      <c r="O69" s="20">
        <f t="shared" si="1"/>
        <v>192216</v>
      </c>
      <c r="P69" s="20">
        <f t="shared" si="1"/>
        <v>186138</v>
      </c>
      <c r="Q69" s="20">
        <f t="shared" si="1"/>
        <v>197537</v>
      </c>
    </row>
    <row r="70" spans="1:17" ht="9.75" customHeight="1">
      <c r="A70" s="1"/>
      <c r="B70" s="1"/>
      <c r="C70" s="1"/>
      <c r="D70" s="1"/>
      <c r="E70" s="1"/>
      <c r="F70" s="20"/>
      <c r="G70" s="20"/>
      <c r="H70" s="24"/>
      <c r="I70" s="24"/>
    </row>
    <row r="71" spans="1:17">
      <c r="C71" s="2" t="s">
        <v>167</v>
      </c>
      <c r="F71" s="24">
        <v>197037</v>
      </c>
      <c r="G71" s="24">
        <v>204325</v>
      </c>
      <c r="H71" s="24">
        <v>202993</v>
      </c>
      <c r="I71" s="24">
        <v>203173</v>
      </c>
      <c r="J71" s="24">
        <v>194803</v>
      </c>
      <c r="K71" s="24">
        <v>190289</v>
      </c>
      <c r="L71" s="24">
        <v>189150</v>
      </c>
      <c r="M71" s="24">
        <v>187878</v>
      </c>
      <c r="N71" s="24">
        <v>186081</v>
      </c>
      <c r="O71" s="24">
        <v>192080</v>
      </c>
      <c r="P71" s="24">
        <v>186002</v>
      </c>
      <c r="Q71" s="24">
        <v>197401</v>
      </c>
    </row>
    <row r="72" spans="1:17">
      <c r="C72" s="2" t="s">
        <v>19</v>
      </c>
      <c r="F72" s="22">
        <f t="shared" ref="F72:Q72" si="2">+F73+F74</f>
        <v>136</v>
      </c>
      <c r="G72" s="22">
        <f t="shared" si="2"/>
        <v>136</v>
      </c>
      <c r="H72" s="22">
        <f t="shared" si="2"/>
        <v>136</v>
      </c>
      <c r="I72" s="22">
        <f t="shared" si="2"/>
        <v>136</v>
      </c>
      <c r="J72" s="22">
        <f t="shared" si="2"/>
        <v>136</v>
      </c>
      <c r="K72" s="22">
        <f t="shared" si="2"/>
        <v>136</v>
      </c>
      <c r="L72" s="22">
        <f t="shared" si="2"/>
        <v>136</v>
      </c>
      <c r="M72" s="22">
        <f t="shared" si="2"/>
        <v>136</v>
      </c>
      <c r="N72" s="22">
        <f t="shared" si="2"/>
        <v>136</v>
      </c>
      <c r="O72" s="22">
        <f t="shared" si="2"/>
        <v>136</v>
      </c>
      <c r="P72" s="22">
        <f t="shared" si="2"/>
        <v>136</v>
      </c>
      <c r="Q72" s="22">
        <f t="shared" si="2"/>
        <v>136</v>
      </c>
    </row>
    <row r="73" spans="1:17">
      <c r="D73" s="2" t="s">
        <v>20</v>
      </c>
      <c r="F73" s="24">
        <v>37</v>
      </c>
      <c r="G73" s="24">
        <v>37</v>
      </c>
      <c r="H73" s="24">
        <v>37</v>
      </c>
      <c r="I73" s="24">
        <v>37</v>
      </c>
      <c r="J73" s="24">
        <v>37</v>
      </c>
      <c r="K73" s="24">
        <v>37</v>
      </c>
      <c r="L73" s="24">
        <v>37</v>
      </c>
      <c r="M73" s="2">
        <v>37</v>
      </c>
      <c r="N73" s="2">
        <v>37</v>
      </c>
      <c r="O73" s="2">
        <v>37</v>
      </c>
      <c r="P73" s="2">
        <v>37</v>
      </c>
      <c r="Q73" s="2">
        <v>37</v>
      </c>
    </row>
    <row r="74" spans="1:17">
      <c r="D74" s="2" t="s">
        <v>15</v>
      </c>
      <c r="F74" s="24">
        <v>99</v>
      </c>
      <c r="G74" s="24">
        <v>99</v>
      </c>
      <c r="H74" s="24">
        <v>99</v>
      </c>
      <c r="I74" s="24">
        <v>99</v>
      </c>
      <c r="J74" s="24">
        <v>99</v>
      </c>
      <c r="K74" s="24">
        <v>99</v>
      </c>
      <c r="L74" s="24">
        <v>99</v>
      </c>
      <c r="M74" s="2">
        <v>99</v>
      </c>
      <c r="N74" s="2">
        <v>99</v>
      </c>
      <c r="O74" s="2">
        <v>99</v>
      </c>
      <c r="P74" s="2">
        <v>99</v>
      </c>
      <c r="Q74" s="2">
        <v>99</v>
      </c>
    </row>
    <row r="75" spans="1:17">
      <c r="F75" s="24"/>
      <c r="G75" s="24"/>
      <c r="H75" s="24"/>
      <c r="I75" s="24"/>
    </row>
    <row r="76" spans="1:17">
      <c r="A76" s="1"/>
      <c r="B76" s="1" t="s">
        <v>168</v>
      </c>
      <c r="C76" s="1"/>
      <c r="D76" s="1"/>
      <c r="E76" s="1"/>
      <c r="F76" s="20">
        <f t="shared" ref="F76:Q76" si="3">+F78+F79</f>
        <v>292281</v>
      </c>
      <c r="G76" s="20">
        <f t="shared" si="3"/>
        <v>299221</v>
      </c>
      <c r="H76" s="20">
        <f t="shared" si="3"/>
        <v>298691</v>
      </c>
      <c r="I76" s="20">
        <f t="shared" si="3"/>
        <v>291136</v>
      </c>
      <c r="J76" s="20">
        <f t="shared" si="3"/>
        <v>297357</v>
      </c>
      <c r="K76" s="20">
        <f t="shared" si="3"/>
        <v>297735</v>
      </c>
      <c r="L76" s="20">
        <f t="shared" si="3"/>
        <v>294613</v>
      </c>
      <c r="M76" s="20">
        <f t="shared" si="3"/>
        <v>296954</v>
      </c>
      <c r="N76" s="20">
        <f t="shared" si="3"/>
        <v>295086</v>
      </c>
      <c r="O76" s="20">
        <f t="shared" si="3"/>
        <v>292495</v>
      </c>
      <c r="P76" s="20">
        <f t="shared" si="3"/>
        <v>285661</v>
      </c>
      <c r="Q76" s="20">
        <f t="shared" si="3"/>
        <v>290049</v>
      </c>
    </row>
    <row r="77" spans="1:17" ht="8.25" customHeight="1">
      <c r="A77" s="1"/>
      <c r="B77" s="1"/>
      <c r="C77" s="1"/>
      <c r="D77" s="1"/>
      <c r="E77" s="1"/>
      <c r="F77" s="20"/>
      <c r="G77" s="20"/>
      <c r="H77" s="24"/>
      <c r="I77" s="24"/>
    </row>
    <row r="78" spans="1:17">
      <c r="C78" s="2" t="s">
        <v>167</v>
      </c>
      <c r="F78" s="24">
        <v>287887</v>
      </c>
      <c r="G78" s="24">
        <v>294766</v>
      </c>
      <c r="H78" s="24">
        <v>294220</v>
      </c>
      <c r="I78" s="24">
        <v>286710</v>
      </c>
      <c r="J78" s="24">
        <v>292862</v>
      </c>
      <c r="K78" s="2">
        <v>293167</v>
      </c>
      <c r="L78" s="24">
        <v>290066</v>
      </c>
      <c r="M78" s="24">
        <v>292380</v>
      </c>
      <c r="N78" s="24">
        <v>290458</v>
      </c>
      <c r="O78" s="24">
        <v>287917</v>
      </c>
      <c r="P78" s="24">
        <v>281180</v>
      </c>
      <c r="Q78" s="24">
        <v>285553</v>
      </c>
    </row>
    <row r="79" spans="1:17">
      <c r="C79" s="2" t="s">
        <v>19</v>
      </c>
      <c r="F79" s="22">
        <f t="shared" ref="F79:H79" si="4">SUM(F80:F83)</f>
        <v>4394</v>
      </c>
      <c r="G79" s="22">
        <f t="shared" si="4"/>
        <v>4455</v>
      </c>
      <c r="H79" s="22">
        <f t="shared" si="4"/>
        <v>4471</v>
      </c>
      <c r="I79" s="22">
        <f t="shared" ref="I79:Q79" si="5">SUM(I80:I83)</f>
        <v>4426</v>
      </c>
      <c r="J79" s="22">
        <f t="shared" si="5"/>
        <v>4495</v>
      </c>
      <c r="K79" s="22">
        <f t="shared" si="5"/>
        <v>4568</v>
      </c>
      <c r="L79" s="22">
        <f t="shared" si="5"/>
        <v>4547</v>
      </c>
      <c r="M79" s="22">
        <f t="shared" si="5"/>
        <v>4574</v>
      </c>
      <c r="N79" s="22">
        <f t="shared" si="5"/>
        <v>4628</v>
      </c>
      <c r="O79" s="22">
        <f t="shared" si="5"/>
        <v>4578</v>
      </c>
      <c r="P79" s="22">
        <f t="shared" si="5"/>
        <v>4481</v>
      </c>
      <c r="Q79" s="22">
        <f t="shared" si="5"/>
        <v>4496</v>
      </c>
    </row>
    <row r="80" spans="1:17">
      <c r="D80" s="2" t="s">
        <v>12</v>
      </c>
      <c r="F80" s="24">
        <v>4353</v>
      </c>
      <c r="G80" s="24">
        <v>4414</v>
      </c>
      <c r="H80" s="24">
        <v>4430</v>
      </c>
      <c r="I80" s="24">
        <v>4385</v>
      </c>
      <c r="J80" s="24">
        <v>4454</v>
      </c>
      <c r="K80" s="24">
        <v>4526</v>
      </c>
      <c r="L80" s="24">
        <v>4505</v>
      </c>
      <c r="M80" s="24">
        <v>4532</v>
      </c>
      <c r="N80" s="24">
        <v>4585</v>
      </c>
      <c r="O80" s="24">
        <v>4536</v>
      </c>
      <c r="P80" s="156">
        <v>4439</v>
      </c>
      <c r="Q80" s="24">
        <v>4454</v>
      </c>
    </row>
    <row r="81" spans="1:17">
      <c r="D81" s="2" t="s">
        <v>13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</row>
    <row r="82" spans="1:17">
      <c r="D82" s="2" t="s">
        <v>21</v>
      </c>
      <c r="F82" s="24">
        <v>41</v>
      </c>
      <c r="G82" s="24">
        <v>41</v>
      </c>
      <c r="H82" s="24">
        <v>41</v>
      </c>
      <c r="I82" s="24">
        <v>41</v>
      </c>
      <c r="J82" s="24">
        <v>41</v>
      </c>
      <c r="K82" s="2">
        <v>42</v>
      </c>
      <c r="L82" s="2">
        <v>42</v>
      </c>
      <c r="M82" s="2">
        <v>42</v>
      </c>
      <c r="N82" s="2">
        <v>43</v>
      </c>
      <c r="O82" s="2">
        <v>42</v>
      </c>
      <c r="P82" s="2">
        <v>42</v>
      </c>
      <c r="Q82" s="2">
        <v>42</v>
      </c>
    </row>
    <row r="83" spans="1:17">
      <c r="D83" s="2" t="s">
        <v>15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</row>
    <row r="86" spans="1:17">
      <c r="A86" s="8"/>
      <c r="B86" s="9"/>
      <c r="C86" s="9"/>
      <c r="D86" s="9"/>
    </row>
    <row r="87" spans="1:17">
      <c r="A87" s="2" t="s">
        <v>11</v>
      </c>
    </row>
    <row r="89" spans="1:17" hidden="1">
      <c r="A89" s="8"/>
      <c r="B89" s="9"/>
      <c r="C89" s="9"/>
      <c r="D89" s="9"/>
    </row>
    <row r="90" spans="1:17" hidden="1">
      <c r="A90" s="2" t="s">
        <v>11</v>
      </c>
    </row>
    <row r="91" spans="1:17" hidden="1"/>
    <row r="92" spans="1:17" hidden="1"/>
    <row r="93" spans="1:17" hidden="1"/>
    <row r="94" spans="1:17" hidden="1"/>
    <row r="95" spans="1:17" hidden="1"/>
    <row r="96" spans="1:17" hidden="1"/>
    <row r="97" spans="1:6" hidden="1"/>
    <row r="98" spans="1:6" hidden="1"/>
    <row r="99" spans="1:6" hidden="1"/>
    <row r="100" spans="1:6" hidden="1"/>
    <row r="101" spans="1:6" hidden="1"/>
    <row r="102" spans="1:6" hidden="1"/>
    <row r="103" spans="1:6">
      <c r="A103" s="188">
        <v>43486</v>
      </c>
      <c r="B103" s="188"/>
      <c r="C103" s="188"/>
      <c r="D103" s="188"/>
      <c r="E103" s="188"/>
      <c r="F103" s="188"/>
    </row>
  </sheetData>
  <mergeCells count="5">
    <mergeCell ref="A2:F2"/>
    <mergeCell ref="A3:F3"/>
    <mergeCell ref="A6:E6"/>
    <mergeCell ref="A65:E65"/>
    <mergeCell ref="A103:F103"/>
  </mergeCells>
  <printOptions horizontalCentered="1"/>
  <pageMargins left="0.23622047244094491" right="0" top="0.74803149606299213" bottom="0" header="0" footer="0"/>
  <pageSetup paperSize="9" scale="7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Q58"/>
  <sheetViews>
    <sheetView zoomScaleNormal="100" workbookViewId="0">
      <pane xSplit="5" ySplit="5" topLeftCell="F6" activePane="bottomRight" state="frozen"/>
      <selection activeCell="M88" sqref="M88"/>
      <selection pane="topRight" activeCell="M88" sqref="M88"/>
      <selection pane="bottomLeft" activeCell="M88" sqref="M88"/>
      <selection pane="bottomRight" activeCell="A5" sqref="A5:Q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0.140625" style="2" customWidth="1"/>
    <col min="6" max="17" width="10.140625" style="2" bestFit="1" customWidth="1"/>
    <col min="18" max="16384" width="9.140625" style="2"/>
  </cols>
  <sheetData>
    <row r="1" spans="1:17">
      <c r="A1" s="19" t="s">
        <v>25</v>
      </c>
      <c r="B1" s="19"/>
      <c r="C1" s="19"/>
      <c r="D1" s="19"/>
      <c r="E1" s="19"/>
      <c r="F1" s="19"/>
    </row>
    <row r="2" spans="1:17">
      <c r="A2" s="19" t="s">
        <v>44</v>
      </c>
      <c r="B2" s="19"/>
      <c r="C2" s="19"/>
      <c r="D2" s="19"/>
      <c r="E2" s="19"/>
      <c r="F2" s="19"/>
    </row>
    <row r="3" spans="1:17">
      <c r="A3" s="4" t="s">
        <v>0</v>
      </c>
      <c r="B3" s="4"/>
      <c r="C3" s="4"/>
      <c r="D3" s="4"/>
      <c r="E3" s="4"/>
      <c r="F3" s="4"/>
    </row>
    <row r="4" spans="1:17" ht="12" customHeight="1" thickBot="1">
      <c r="A4" s="4"/>
    </row>
    <row r="5" spans="1:17" ht="18" customHeight="1" thickBot="1">
      <c r="A5" s="189" t="s">
        <v>1</v>
      </c>
      <c r="B5" s="190"/>
      <c r="C5" s="190"/>
      <c r="D5" s="190"/>
      <c r="E5" s="190"/>
      <c r="F5" s="166" t="s">
        <v>5</v>
      </c>
      <c r="G5" s="167" t="s">
        <v>23</v>
      </c>
      <c r="H5" s="167" t="s">
        <v>24</v>
      </c>
      <c r="I5" s="167" t="s">
        <v>26</v>
      </c>
      <c r="J5" s="167" t="s">
        <v>27</v>
      </c>
      <c r="K5" s="167" t="s">
        <v>36</v>
      </c>
      <c r="L5" s="167" t="s">
        <v>28</v>
      </c>
      <c r="M5" s="168" t="s">
        <v>29</v>
      </c>
      <c r="N5" s="168" t="s">
        <v>30</v>
      </c>
      <c r="O5" s="168" t="s">
        <v>31</v>
      </c>
      <c r="P5" s="168" t="s">
        <v>32</v>
      </c>
      <c r="Q5" s="169" t="s">
        <v>33</v>
      </c>
    </row>
    <row r="6" spans="1:17" ht="9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5"/>
      <c r="N6" s="45"/>
      <c r="O6" s="45"/>
      <c r="P6" s="45"/>
      <c r="Q6" s="45"/>
    </row>
    <row r="7" spans="1:17" ht="14.25" customHeight="1">
      <c r="A7" s="1" t="s">
        <v>6</v>
      </c>
      <c r="B7" s="1"/>
      <c r="C7" s="1"/>
      <c r="D7" s="1"/>
      <c r="E7" s="1"/>
      <c r="F7" s="13">
        <v>3953159</v>
      </c>
      <c r="G7" s="13">
        <v>3985091</v>
      </c>
      <c r="H7" s="13">
        <v>3967737</v>
      </c>
      <c r="I7" s="13">
        <v>4160059</v>
      </c>
      <c r="J7" s="13">
        <v>4137292</v>
      </c>
      <c r="K7" s="20">
        <v>4186354</v>
      </c>
      <c r="L7" s="20">
        <v>4146338</v>
      </c>
      <c r="M7" s="20">
        <v>4151680</v>
      </c>
      <c r="N7" s="20">
        <v>4188477</v>
      </c>
      <c r="O7" s="20">
        <v>4216053</v>
      </c>
      <c r="P7" s="20">
        <v>4208197</v>
      </c>
      <c r="Q7" s="20">
        <v>4441260</v>
      </c>
    </row>
    <row r="8" spans="1:17">
      <c r="A8" s="1"/>
      <c r="B8" s="1" t="s">
        <v>37</v>
      </c>
      <c r="C8" s="1"/>
      <c r="D8" s="1"/>
      <c r="E8" s="1"/>
      <c r="F8" s="13">
        <v>598</v>
      </c>
      <c r="G8" s="13">
        <v>598</v>
      </c>
      <c r="H8" s="13">
        <v>948</v>
      </c>
      <c r="I8" s="13">
        <v>948</v>
      </c>
      <c r="J8" s="13">
        <v>948</v>
      </c>
      <c r="K8" s="20">
        <v>948</v>
      </c>
      <c r="L8" s="20">
        <v>948</v>
      </c>
      <c r="M8" s="20">
        <v>948</v>
      </c>
      <c r="N8" s="20">
        <v>948</v>
      </c>
      <c r="O8" s="20">
        <v>948</v>
      </c>
      <c r="P8" s="20">
        <v>948</v>
      </c>
      <c r="Q8" s="20">
        <v>948</v>
      </c>
    </row>
    <row r="9" spans="1:17">
      <c r="C9" s="2" t="s">
        <v>10</v>
      </c>
      <c r="F9" s="14">
        <v>156</v>
      </c>
      <c r="G9" s="14">
        <v>156</v>
      </c>
      <c r="H9" s="14">
        <v>156</v>
      </c>
      <c r="I9" s="14">
        <v>156</v>
      </c>
      <c r="J9" s="14">
        <v>156</v>
      </c>
      <c r="K9" s="22">
        <v>156</v>
      </c>
      <c r="L9" s="22">
        <v>156</v>
      </c>
      <c r="M9" s="22">
        <v>156</v>
      </c>
      <c r="N9" s="22">
        <v>156</v>
      </c>
      <c r="O9" s="22">
        <v>156</v>
      </c>
      <c r="P9" s="22">
        <v>156</v>
      </c>
      <c r="Q9" s="22">
        <v>156</v>
      </c>
    </row>
    <row r="10" spans="1:17">
      <c r="D10" s="2" t="s">
        <v>2</v>
      </c>
      <c r="F10" s="15">
        <v>156</v>
      </c>
      <c r="G10" s="15">
        <v>156</v>
      </c>
      <c r="H10" s="15">
        <v>156</v>
      </c>
      <c r="I10" s="15">
        <v>156</v>
      </c>
      <c r="J10" s="2">
        <v>156</v>
      </c>
      <c r="K10" s="24">
        <v>156</v>
      </c>
      <c r="L10" s="24">
        <v>156</v>
      </c>
      <c r="M10" s="24">
        <v>156</v>
      </c>
      <c r="N10" s="2">
        <v>156</v>
      </c>
      <c r="O10" s="24">
        <v>156</v>
      </c>
      <c r="P10" s="24">
        <v>156</v>
      </c>
      <c r="Q10" s="24">
        <v>156</v>
      </c>
    </row>
    <row r="11" spans="1:17">
      <c r="D11" s="2" t="s">
        <v>3</v>
      </c>
      <c r="F11" s="15">
        <v>0</v>
      </c>
      <c r="G11" s="15">
        <v>0</v>
      </c>
      <c r="H11" s="15">
        <v>0</v>
      </c>
      <c r="I11" s="15">
        <v>0</v>
      </c>
      <c r="J11" s="2">
        <v>0</v>
      </c>
      <c r="K11" s="24">
        <v>0</v>
      </c>
      <c r="L11" s="24">
        <v>0</v>
      </c>
      <c r="M11" s="24">
        <v>0</v>
      </c>
      <c r="N11" s="2">
        <v>0</v>
      </c>
      <c r="O11" s="24">
        <v>0</v>
      </c>
      <c r="P11" s="24">
        <v>0</v>
      </c>
      <c r="Q11" s="24">
        <v>0</v>
      </c>
    </row>
    <row r="12" spans="1:17">
      <c r="C12" s="2" t="s">
        <v>4</v>
      </c>
      <c r="F12" s="14">
        <v>442</v>
      </c>
      <c r="G12" s="14">
        <v>442</v>
      </c>
      <c r="H12" s="14">
        <v>792</v>
      </c>
      <c r="I12" s="14">
        <v>792</v>
      </c>
      <c r="J12" s="14">
        <v>792</v>
      </c>
      <c r="K12" s="22">
        <v>792</v>
      </c>
      <c r="L12" s="22">
        <v>792</v>
      </c>
      <c r="M12" s="22">
        <v>792</v>
      </c>
      <c r="N12" s="22">
        <v>792</v>
      </c>
      <c r="O12" s="22">
        <v>792</v>
      </c>
      <c r="P12" s="22">
        <v>792</v>
      </c>
      <c r="Q12" s="22">
        <v>792</v>
      </c>
    </row>
    <row r="13" spans="1:17">
      <c r="D13" s="2" t="s">
        <v>12</v>
      </c>
      <c r="F13" s="15">
        <v>0</v>
      </c>
      <c r="G13" s="15">
        <v>0</v>
      </c>
      <c r="H13" s="15">
        <v>350</v>
      </c>
      <c r="I13" s="15">
        <v>350</v>
      </c>
      <c r="J13" s="2">
        <v>350</v>
      </c>
      <c r="K13" s="24">
        <v>350</v>
      </c>
      <c r="L13" s="24">
        <v>350</v>
      </c>
      <c r="M13" s="24">
        <v>350</v>
      </c>
      <c r="N13" s="2">
        <v>350</v>
      </c>
      <c r="O13" s="24">
        <v>350</v>
      </c>
      <c r="P13" s="24">
        <v>350</v>
      </c>
      <c r="Q13" s="24">
        <v>350</v>
      </c>
    </row>
    <row r="14" spans="1:17">
      <c r="D14" s="2" t="s">
        <v>13</v>
      </c>
      <c r="F14" s="15">
        <v>442</v>
      </c>
      <c r="G14" s="15">
        <v>442</v>
      </c>
      <c r="H14" s="15">
        <v>442</v>
      </c>
      <c r="I14" s="15">
        <v>442</v>
      </c>
      <c r="J14" s="2">
        <v>442</v>
      </c>
      <c r="K14" s="24">
        <v>442</v>
      </c>
      <c r="L14" s="24">
        <v>442</v>
      </c>
      <c r="M14" s="24">
        <v>442</v>
      </c>
      <c r="N14" s="2">
        <v>442</v>
      </c>
      <c r="O14" s="24">
        <v>442</v>
      </c>
      <c r="P14" s="24">
        <v>442</v>
      </c>
      <c r="Q14" s="24">
        <v>442</v>
      </c>
    </row>
    <row r="15" spans="1:17" hidden="1">
      <c r="D15" s="2" t="s">
        <v>14</v>
      </c>
      <c r="F15" s="15">
        <v>0</v>
      </c>
      <c r="G15" s="15">
        <v>0</v>
      </c>
      <c r="H15" s="15">
        <v>0</v>
      </c>
      <c r="I15" s="15">
        <v>0</v>
      </c>
      <c r="J15" s="2">
        <v>0</v>
      </c>
      <c r="K15" s="24">
        <v>0</v>
      </c>
      <c r="L15" s="24">
        <v>0</v>
      </c>
      <c r="M15" s="24">
        <v>0</v>
      </c>
      <c r="N15" s="2">
        <v>0</v>
      </c>
      <c r="O15" s="24">
        <v>0</v>
      </c>
      <c r="P15" s="24">
        <v>0</v>
      </c>
      <c r="Q15" s="24">
        <v>0</v>
      </c>
    </row>
    <row r="16" spans="1:17" hidden="1">
      <c r="D16" s="2" t="s">
        <v>15</v>
      </c>
      <c r="F16" s="15">
        <v>0</v>
      </c>
      <c r="G16" s="15">
        <v>0</v>
      </c>
      <c r="H16" s="15">
        <v>0</v>
      </c>
      <c r="I16" s="15">
        <v>0</v>
      </c>
      <c r="J16" s="2">
        <v>0</v>
      </c>
      <c r="K16" s="24">
        <v>0</v>
      </c>
      <c r="L16" s="24">
        <v>0</v>
      </c>
      <c r="M16" s="24">
        <v>0</v>
      </c>
      <c r="N16" s="2">
        <v>0</v>
      </c>
      <c r="O16" s="24">
        <v>0</v>
      </c>
      <c r="P16" s="24">
        <v>0</v>
      </c>
      <c r="Q16" s="24">
        <v>0</v>
      </c>
    </row>
    <row r="17" spans="1:17" ht="8.25" customHeight="1">
      <c r="F17" s="15"/>
      <c r="G17" s="15"/>
      <c r="H17" s="15"/>
      <c r="K17" s="24"/>
      <c r="O17" s="24"/>
    </row>
    <row r="18" spans="1:17" s="1" customFormat="1" ht="15" customHeight="1">
      <c r="B18" s="1" t="s">
        <v>38</v>
      </c>
      <c r="F18" s="16">
        <v>3952561</v>
      </c>
      <c r="G18" s="16">
        <v>3984493</v>
      </c>
      <c r="H18" s="16">
        <v>3966789</v>
      </c>
      <c r="I18" s="16">
        <v>4159111</v>
      </c>
      <c r="J18" s="28">
        <v>4136344</v>
      </c>
      <c r="K18" s="27">
        <v>4185406</v>
      </c>
      <c r="L18" s="28">
        <v>4145390</v>
      </c>
      <c r="M18" s="27">
        <v>4150732</v>
      </c>
      <c r="N18" s="27">
        <v>4187529</v>
      </c>
      <c r="O18" s="27">
        <v>4215105</v>
      </c>
      <c r="P18" s="27">
        <v>4207249</v>
      </c>
      <c r="Q18" s="27">
        <v>4440312</v>
      </c>
    </row>
    <row r="19" spans="1:17">
      <c r="F19" s="15"/>
      <c r="G19" s="15"/>
      <c r="H19" s="15"/>
      <c r="I19" s="15"/>
      <c r="K19" s="24"/>
      <c r="M19" s="24"/>
      <c r="O19" s="24"/>
      <c r="Q19" s="24"/>
    </row>
    <row r="20" spans="1:17" ht="15" customHeight="1">
      <c r="A20" s="1" t="s">
        <v>41</v>
      </c>
      <c r="B20" s="1"/>
      <c r="C20" s="1"/>
      <c r="D20" s="1"/>
      <c r="E20" s="1"/>
      <c r="F20" s="13">
        <v>2162221</v>
      </c>
      <c r="G20" s="13">
        <v>2222946</v>
      </c>
      <c r="H20" s="13">
        <v>2221869</v>
      </c>
      <c r="I20" s="13">
        <v>2210095</v>
      </c>
      <c r="J20" s="13">
        <v>2207802</v>
      </c>
      <c r="K20" s="20">
        <v>2230711</v>
      </c>
      <c r="L20" s="20">
        <v>2238945</v>
      </c>
      <c r="M20" s="20">
        <v>2279980</v>
      </c>
      <c r="N20" s="20">
        <v>2255554</v>
      </c>
      <c r="O20" s="20">
        <v>2285170</v>
      </c>
      <c r="P20" s="20">
        <v>2229167</v>
      </c>
      <c r="Q20" s="20">
        <v>2211170</v>
      </c>
    </row>
    <row r="21" spans="1:17">
      <c r="A21" s="1"/>
      <c r="B21" s="1" t="s">
        <v>37</v>
      </c>
      <c r="C21" s="1"/>
      <c r="D21" s="1"/>
      <c r="E21" s="1"/>
      <c r="F21" s="13">
        <v>844937</v>
      </c>
      <c r="G21" s="13">
        <v>851568</v>
      </c>
      <c r="H21" s="13">
        <v>851014</v>
      </c>
      <c r="I21" s="13">
        <v>847298</v>
      </c>
      <c r="J21" s="13">
        <v>848008</v>
      </c>
      <c r="K21" s="20">
        <v>854448</v>
      </c>
      <c r="L21" s="20">
        <v>860626</v>
      </c>
      <c r="M21" s="20">
        <v>884787</v>
      </c>
      <c r="N21" s="20">
        <v>870106</v>
      </c>
      <c r="O21" s="20">
        <v>879179</v>
      </c>
      <c r="P21" s="20">
        <v>855626</v>
      </c>
      <c r="Q21" s="20">
        <v>847110</v>
      </c>
    </row>
    <row r="22" spans="1:17" ht="15.75" customHeight="1">
      <c r="C22" s="2" t="s">
        <v>10</v>
      </c>
      <c r="F22" s="17">
        <v>844937</v>
      </c>
      <c r="G22" s="17">
        <v>851568</v>
      </c>
      <c r="H22" s="17">
        <v>851014</v>
      </c>
      <c r="I22" s="17">
        <v>847298</v>
      </c>
      <c r="J22" s="17">
        <v>848008</v>
      </c>
      <c r="K22" s="32">
        <v>854448</v>
      </c>
      <c r="L22" s="32">
        <v>860626</v>
      </c>
      <c r="M22" s="32">
        <v>884787</v>
      </c>
      <c r="N22" s="32">
        <v>870106</v>
      </c>
      <c r="O22" s="32">
        <v>879179</v>
      </c>
      <c r="P22" s="32">
        <v>855626</v>
      </c>
      <c r="Q22" s="32">
        <v>847110</v>
      </c>
    </row>
    <row r="23" spans="1:17">
      <c r="D23" s="2" t="s">
        <v>2</v>
      </c>
      <c r="F23" s="15">
        <v>816719</v>
      </c>
      <c r="G23" s="15">
        <v>823208</v>
      </c>
      <c r="H23" s="15">
        <v>822873</v>
      </c>
      <c r="I23" s="15">
        <v>819670</v>
      </c>
      <c r="J23" s="25">
        <v>820776</v>
      </c>
      <c r="K23" s="24">
        <v>827803</v>
      </c>
      <c r="L23" s="25">
        <v>833589</v>
      </c>
      <c r="M23" s="24">
        <v>857474</v>
      </c>
      <c r="N23" s="24">
        <v>844115</v>
      </c>
      <c r="O23" s="24">
        <v>853307</v>
      </c>
      <c r="P23" s="24">
        <v>830116</v>
      </c>
      <c r="Q23" s="24">
        <v>821997</v>
      </c>
    </row>
    <row r="24" spans="1:17">
      <c r="D24" s="2" t="s">
        <v>3</v>
      </c>
      <c r="F24" s="15">
        <v>28218</v>
      </c>
      <c r="G24" s="15">
        <v>28360</v>
      </c>
      <c r="H24" s="15">
        <v>28141</v>
      </c>
      <c r="I24" s="15">
        <v>27628</v>
      </c>
      <c r="J24" s="25">
        <v>27232</v>
      </c>
      <c r="K24" s="24">
        <v>26645</v>
      </c>
      <c r="L24" s="25">
        <v>27037</v>
      </c>
      <c r="M24" s="24">
        <v>27313</v>
      </c>
      <c r="N24" s="24">
        <v>25991</v>
      </c>
      <c r="O24" s="24">
        <v>25872</v>
      </c>
      <c r="P24" s="24">
        <v>25510</v>
      </c>
      <c r="Q24" s="24">
        <v>25113</v>
      </c>
    </row>
    <row r="25" spans="1:17">
      <c r="C25" s="2" t="s">
        <v>4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</row>
    <row r="26" spans="1:17" hidden="1">
      <c r="D26" s="2" t="s">
        <v>12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</row>
    <row r="27" spans="1:17" hidden="1">
      <c r="D27" s="2" t="s">
        <v>13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</row>
    <row r="28" spans="1:17" hidden="1">
      <c r="D28" s="2" t="s">
        <v>14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</row>
    <row r="29" spans="1:17" hidden="1">
      <c r="D29" s="2" t="s">
        <v>15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</row>
    <row r="30" spans="1:17" hidden="1">
      <c r="D30" s="2" t="s">
        <v>16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</row>
    <row r="31" spans="1:17" ht="11.25" customHeight="1">
      <c r="F31" s="15"/>
      <c r="G31" s="15"/>
      <c r="H31" s="15"/>
      <c r="I31" s="15"/>
      <c r="K31" s="24"/>
      <c r="M31" s="24"/>
      <c r="O31" s="24"/>
      <c r="Q31" s="24"/>
    </row>
    <row r="32" spans="1:17" s="1" customFormat="1">
      <c r="B32" s="1" t="s">
        <v>38</v>
      </c>
      <c r="F32" s="16">
        <v>1317284</v>
      </c>
      <c r="G32" s="16">
        <v>1371378</v>
      </c>
      <c r="H32" s="16">
        <v>1370855</v>
      </c>
      <c r="I32" s="16">
        <v>1362797</v>
      </c>
      <c r="J32" s="28">
        <v>1359794</v>
      </c>
      <c r="K32" s="27">
        <v>1376263</v>
      </c>
      <c r="L32" s="28">
        <v>1378319</v>
      </c>
      <c r="M32" s="27">
        <v>1395193</v>
      </c>
      <c r="N32" s="27">
        <v>1385448</v>
      </c>
      <c r="O32" s="27">
        <v>1405991</v>
      </c>
      <c r="P32" s="27">
        <v>1373541</v>
      </c>
      <c r="Q32" s="27">
        <v>1364060</v>
      </c>
    </row>
    <row r="33" spans="1:17">
      <c r="I33" s="15"/>
      <c r="K33" s="24"/>
      <c r="M33" s="24"/>
      <c r="O33" s="24"/>
      <c r="Q33" s="24"/>
    </row>
    <row r="34" spans="1:17">
      <c r="C34" s="1" t="s">
        <v>7</v>
      </c>
      <c r="D34" s="1"/>
      <c r="E34" s="1"/>
      <c r="F34" s="41">
        <v>6115380</v>
      </c>
      <c r="G34" s="41">
        <v>6208037</v>
      </c>
      <c r="H34" s="41">
        <v>6189606</v>
      </c>
      <c r="I34" s="41">
        <v>6370154</v>
      </c>
      <c r="J34" s="41">
        <v>6345094</v>
      </c>
      <c r="K34" s="42">
        <v>6417065</v>
      </c>
      <c r="L34" s="42">
        <v>6385283</v>
      </c>
      <c r="M34" s="42">
        <v>6431660</v>
      </c>
      <c r="N34" s="42">
        <v>6444031</v>
      </c>
      <c r="O34" s="42">
        <v>6501223</v>
      </c>
      <c r="P34" s="42">
        <v>6437364</v>
      </c>
      <c r="Q34" s="42">
        <v>6652430</v>
      </c>
    </row>
    <row r="35" spans="1:17">
      <c r="A35" s="8"/>
      <c r="B35" s="9"/>
      <c r="C35" s="9"/>
      <c r="D35" s="9"/>
      <c r="M35" s="43"/>
    </row>
    <row r="36" spans="1:17">
      <c r="A36" s="2" t="s">
        <v>11</v>
      </c>
    </row>
    <row r="37" spans="1:17">
      <c r="A37" s="1"/>
    </row>
    <row r="38" spans="1:17" s="11" customFormat="1">
      <c r="A38" s="10" t="s">
        <v>8</v>
      </c>
      <c r="B38" s="10"/>
      <c r="C38" s="10"/>
      <c r="D38" s="10"/>
      <c r="E38" s="10"/>
      <c r="F38" s="10">
        <v>49.756999999999998</v>
      </c>
      <c r="G38" s="10">
        <v>50.255000000000003</v>
      </c>
      <c r="H38" s="10">
        <v>50.219000000000001</v>
      </c>
      <c r="I38" s="10">
        <v>49.9</v>
      </c>
      <c r="J38" s="11">
        <v>49.761000000000003</v>
      </c>
      <c r="K38" s="11">
        <v>50.448999999999998</v>
      </c>
      <c r="L38" s="11">
        <v>50.502000000000002</v>
      </c>
      <c r="M38" s="11">
        <v>51.170999999999999</v>
      </c>
      <c r="N38" s="11">
        <v>50.83</v>
      </c>
      <c r="O38" s="11">
        <v>51.686</v>
      </c>
      <c r="P38" s="11">
        <v>50.345999999999997</v>
      </c>
      <c r="Q38" s="11">
        <v>49.957999999999998</v>
      </c>
    </row>
    <row r="39" spans="1:17" s="11" customFormat="1">
      <c r="A39" s="10"/>
      <c r="B39" s="10"/>
      <c r="C39" s="10"/>
      <c r="D39" s="10"/>
      <c r="E39" s="10"/>
    </row>
    <row r="40" spans="1:17" s="11" customFormat="1">
      <c r="A40" s="10"/>
      <c r="B40" s="10"/>
      <c r="C40" s="10"/>
      <c r="D40" s="10"/>
      <c r="E40" s="10"/>
    </row>
    <row r="41" spans="1:17">
      <c r="A41" s="11" t="s">
        <v>22</v>
      </c>
    </row>
    <row r="42" spans="1:17">
      <c r="A42" s="11"/>
    </row>
    <row r="43" spans="1:17">
      <c r="A43" s="188">
        <v>43119</v>
      </c>
      <c r="B43" s="188"/>
      <c r="C43" s="188"/>
      <c r="D43" s="188"/>
      <c r="E43" s="188"/>
    </row>
    <row r="44" spans="1:17">
      <c r="E44" s="11"/>
    </row>
    <row r="45" spans="1:17">
      <c r="A45" s="12"/>
      <c r="E45" s="11"/>
    </row>
    <row r="46" spans="1:17">
      <c r="A46" s="12"/>
      <c r="E46" s="11"/>
    </row>
    <row r="47" spans="1:17">
      <c r="A47" s="12"/>
      <c r="E47" s="11"/>
    </row>
    <row r="48" spans="1:17">
      <c r="A48" s="12"/>
      <c r="E48" s="11"/>
    </row>
    <row r="49" spans="1:5">
      <c r="A49" s="12"/>
      <c r="E49" s="11"/>
    </row>
    <row r="50" spans="1:5">
      <c r="A50" s="12"/>
      <c r="E50" s="11"/>
    </row>
    <row r="51" spans="1:5">
      <c r="A51" s="12"/>
      <c r="E51" s="11"/>
    </row>
    <row r="52" spans="1:5">
      <c r="A52" s="12"/>
      <c r="E52" s="11"/>
    </row>
    <row r="53" spans="1:5">
      <c r="A53" s="12"/>
      <c r="E53" s="11"/>
    </row>
    <row r="54" spans="1:5">
      <c r="A54" s="12"/>
      <c r="E54" s="11"/>
    </row>
    <row r="55" spans="1:5">
      <c r="A55" s="12"/>
      <c r="E55" s="11"/>
    </row>
    <row r="56" spans="1:5">
      <c r="A56" s="12"/>
      <c r="E56" s="11"/>
    </row>
    <row r="57" spans="1:5">
      <c r="A57" s="12"/>
      <c r="E57" s="11"/>
    </row>
    <row r="58" spans="1:5">
      <c r="A58" s="12"/>
      <c r="E58" s="11"/>
    </row>
  </sheetData>
  <mergeCells count="2">
    <mergeCell ref="A5:E5"/>
    <mergeCell ref="A43:E43"/>
  </mergeCells>
  <printOptions horizontalCentered="1"/>
  <pageMargins left="0.51181102362204722" right="0" top="0.74803149606299213" bottom="0" header="0" footer="0"/>
  <pageSetup paperSize="9" scale="7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B38C-BDD0-4CDF-8430-D75E2942E28F}">
  <sheetPr>
    <pageSetUpPr fitToPage="1"/>
  </sheetPr>
  <dimension ref="A1:Q43"/>
  <sheetViews>
    <sheetView zoomScaleNormal="100" workbookViewId="0">
      <selection activeCell="N11" sqref="N11"/>
    </sheetView>
  </sheetViews>
  <sheetFormatPr defaultRowHeight="11.25" customHeight="1"/>
  <cols>
    <col min="1" max="2" width="1.85546875" style="2" customWidth="1"/>
    <col min="3" max="3" width="2.28515625" style="2" customWidth="1"/>
    <col min="4" max="4" width="1.7109375" style="2" customWidth="1"/>
    <col min="5" max="5" width="10" style="2" customWidth="1"/>
    <col min="6" max="43" width="9.140625" style="2" customWidth="1"/>
    <col min="44" max="16384" width="9.140625" style="2"/>
  </cols>
  <sheetData>
    <row r="1" spans="1:17" ht="15.75" customHeight="1">
      <c r="A1" s="19" t="s">
        <v>138</v>
      </c>
      <c r="B1" s="19"/>
      <c r="C1" s="19"/>
      <c r="D1" s="19"/>
      <c r="E1" s="19"/>
      <c r="F1" s="19"/>
    </row>
    <row r="2" spans="1:17" ht="16.5" customHeight="1">
      <c r="A2" s="19" t="str">
        <f>'[5]2017'!A2</f>
        <v>As of December 2017</v>
      </c>
      <c r="B2" s="19"/>
      <c r="C2" s="19"/>
      <c r="D2" s="19"/>
      <c r="E2" s="19"/>
      <c r="F2" s="19"/>
    </row>
    <row r="3" spans="1:17" ht="11.25" customHeight="1">
      <c r="A3" s="4" t="s">
        <v>0</v>
      </c>
      <c r="B3" s="4"/>
      <c r="C3" s="4"/>
      <c r="D3" s="4"/>
      <c r="E3" s="4"/>
      <c r="F3" s="4"/>
    </row>
    <row r="4" spans="1:17" ht="13.5" customHeight="1">
      <c r="A4" s="73"/>
      <c r="B4" s="73"/>
      <c r="C4" s="73"/>
      <c r="D4" s="73"/>
      <c r="E4" s="73"/>
      <c r="F4" s="73"/>
    </row>
    <row r="5" spans="1:17" ht="22.5" customHeight="1">
      <c r="A5" s="191" t="s">
        <v>1</v>
      </c>
      <c r="B5" s="192"/>
      <c r="C5" s="192"/>
      <c r="D5" s="192"/>
      <c r="E5" s="192"/>
      <c r="F5" s="170" t="s">
        <v>5</v>
      </c>
      <c r="G5" s="170" t="s">
        <v>23</v>
      </c>
      <c r="H5" s="170" t="s">
        <v>24</v>
      </c>
      <c r="I5" s="170" t="s">
        <v>26</v>
      </c>
      <c r="J5" s="170" t="s">
        <v>27</v>
      </c>
      <c r="K5" s="170" t="s">
        <v>36</v>
      </c>
      <c r="L5" s="170" t="s">
        <v>28</v>
      </c>
      <c r="M5" s="170" t="s">
        <v>29</v>
      </c>
      <c r="N5" s="170" t="s">
        <v>30</v>
      </c>
      <c r="O5" s="170" t="s">
        <v>31</v>
      </c>
      <c r="P5" s="170" t="s">
        <v>32</v>
      </c>
      <c r="Q5" s="171" t="s">
        <v>33</v>
      </c>
    </row>
    <row r="7" spans="1:17" ht="15" customHeight="1">
      <c r="A7" s="1" t="s">
        <v>17</v>
      </c>
      <c r="B7" s="1"/>
      <c r="C7" s="1"/>
      <c r="D7" s="1"/>
      <c r="E7" s="1"/>
      <c r="F7" s="13">
        <f t="shared" ref="F7:Q7" si="0">+F9+F16</f>
        <v>519111</v>
      </c>
      <c r="G7" s="13">
        <f t="shared" si="0"/>
        <v>521826</v>
      </c>
      <c r="H7" s="13">
        <f t="shared" si="0"/>
        <v>516798</v>
      </c>
      <c r="I7" s="13">
        <f t="shared" si="0"/>
        <v>495080</v>
      </c>
      <c r="J7" s="13">
        <f t="shared" si="0"/>
        <v>493624</v>
      </c>
      <c r="K7" s="20">
        <f t="shared" si="0"/>
        <v>493179</v>
      </c>
      <c r="L7" s="20">
        <f t="shared" si="0"/>
        <v>495137</v>
      </c>
      <c r="M7" s="20">
        <f t="shared" si="0"/>
        <v>497538</v>
      </c>
      <c r="N7" s="20">
        <f t="shared" si="0"/>
        <v>489064</v>
      </c>
      <c r="O7" s="20">
        <f t="shared" si="0"/>
        <v>489088</v>
      </c>
      <c r="P7" s="20">
        <f t="shared" si="0"/>
        <v>478788</v>
      </c>
      <c r="Q7" s="20">
        <f t="shared" si="0"/>
        <v>478113</v>
      </c>
    </row>
    <row r="8" spans="1:17" ht="11.25" customHeight="1">
      <c r="A8" s="1"/>
      <c r="B8" s="1"/>
      <c r="C8" s="1"/>
      <c r="D8" s="1"/>
      <c r="E8" s="1"/>
      <c r="F8" s="13"/>
      <c r="G8" s="13"/>
      <c r="H8" s="13"/>
      <c r="I8" s="13"/>
      <c r="J8" s="13"/>
      <c r="K8" s="20"/>
      <c r="L8" s="20"/>
      <c r="M8" s="20"/>
      <c r="N8" s="20"/>
      <c r="O8" s="20"/>
      <c r="P8" s="20"/>
      <c r="Q8" s="20"/>
    </row>
    <row r="9" spans="1:17" ht="14.1" customHeight="1">
      <c r="A9" s="1"/>
      <c r="B9" s="1" t="s">
        <v>18</v>
      </c>
      <c r="C9" s="1"/>
      <c r="D9" s="1"/>
      <c r="E9" s="1"/>
      <c r="F9" s="13">
        <f t="shared" ref="F9:Q9" si="1">+F11+F12</f>
        <v>233128</v>
      </c>
      <c r="G9" s="13">
        <f t="shared" si="1"/>
        <v>232160</v>
      </c>
      <c r="H9" s="13">
        <f t="shared" si="1"/>
        <v>228619</v>
      </c>
      <c r="I9" s="13">
        <f t="shared" si="1"/>
        <v>209286</v>
      </c>
      <c r="J9" s="13">
        <f t="shared" si="1"/>
        <v>206722</v>
      </c>
      <c r="K9" s="20">
        <f t="shared" si="1"/>
        <v>205670</v>
      </c>
      <c r="L9" s="20">
        <f t="shared" si="1"/>
        <v>205185</v>
      </c>
      <c r="M9" s="20">
        <f t="shared" si="1"/>
        <v>202846</v>
      </c>
      <c r="N9" s="20">
        <f t="shared" si="1"/>
        <v>202557</v>
      </c>
      <c r="O9" s="20">
        <f t="shared" si="1"/>
        <v>199831</v>
      </c>
      <c r="P9" s="20">
        <f t="shared" si="1"/>
        <v>195024</v>
      </c>
      <c r="Q9" s="20">
        <f t="shared" si="1"/>
        <v>197517</v>
      </c>
    </row>
    <row r="10" spans="1:17" ht="11.25" customHeight="1">
      <c r="A10" s="1"/>
      <c r="B10" s="1"/>
      <c r="C10" s="1"/>
      <c r="D10" s="1"/>
      <c r="E10" s="1"/>
      <c r="F10" s="13"/>
      <c r="G10" s="13"/>
      <c r="H10" s="13"/>
      <c r="I10" s="13"/>
      <c r="J10" s="13"/>
      <c r="K10" s="24"/>
    </row>
    <row r="11" spans="1:17" ht="14.1" customHeight="1">
      <c r="C11" s="2" t="s">
        <v>167</v>
      </c>
      <c r="F11" s="15">
        <v>232992</v>
      </c>
      <c r="G11" s="15">
        <v>232024</v>
      </c>
      <c r="H11" s="15">
        <v>228483</v>
      </c>
      <c r="I11" s="15">
        <v>209150</v>
      </c>
      <c r="J11" s="15">
        <v>206586</v>
      </c>
      <c r="K11" s="24">
        <v>205534</v>
      </c>
      <c r="L11" s="25">
        <v>205049</v>
      </c>
      <c r="M11" s="24">
        <v>202710</v>
      </c>
      <c r="N11" s="24">
        <v>202421</v>
      </c>
      <c r="O11" s="24">
        <v>199695</v>
      </c>
      <c r="P11" s="24">
        <v>194888</v>
      </c>
      <c r="Q11" s="24">
        <v>197381</v>
      </c>
    </row>
    <row r="12" spans="1:17" ht="14.1" customHeight="1">
      <c r="C12" s="2" t="s">
        <v>19</v>
      </c>
      <c r="F12" s="14">
        <f t="shared" ref="F12:Q12" si="2">+F13+F14</f>
        <v>136</v>
      </c>
      <c r="G12" s="14">
        <f t="shared" si="2"/>
        <v>136</v>
      </c>
      <c r="H12" s="14">
        <f t="shared" si="2"/>
        <v>136</v>
      </c>
      <c r="I12" s="14">
        <f t="shared" si="2"/>
        <v>136</v>
      </c>
      <c r="J12" s="14">
        <f t="shared" si="2"/>
        <v>136</v>
      </c>
      <c r="K12" s="22">
        <f t="shared" si="2"/>
        <v>136</v>
      </c>
      <c r="L12" s="22">
        <f t="shared" si="2"/>
        <v>136</v>
      </c>
      <c r="M12" s="22">
        <f t="shared" si="2"/>
        <v>136</v>
      </c>
      <c r="N12" s="22">
        <f t="shared" si="2"/>
        <v>136</v>
      </c>
      <c r="O12" s="22">
        <f t="shared" si="2"/>
        <v>136</v>
      </c>
      <c r="P12" s="22">
        <f t="shared" si="2"/>
        <v>136</v>
      </c>
      <c r="Q12" s="22">
        <f t="shared" si="2"/>
        <v>136</v>
      </c>
    </row>
    <row r="13" spans="1:17" ht="14.1" customHeight="1">
      <c r="D13" s="2" t="s">
        <v>20</v>
      </c>
      <c r="F13" s="15">
        <v>37</v>
      </c>
      <c r="G13" s="15">
        <v>37</v>
      </c>
      <c r="H13" s="15">
        <v>37</v>
      </c>
      <c r="I13" s="15">
        <v>37</v>
      </c>
      <c r="J13" s="15">
        <v>37</v>
      </c>
      <c r="K13" s="24">
        <v>37</v>
      </c>
      <c r="L13" s="24">
        <v>37</v>
      </c>
      <c r="M13" s="24">
        <v>37</v>
      </c>
      <c r="N13" s="2">
        <v>37</v>
      </c>
      <c r="O13" s="24">
        <v>37</v>
      </c>
      <c r="P13" s="24">
        <v>37</v>
      </c>
      <c r="Q13" s="24">
        <v>37</v>
      </c>
    </row>
    <row r="14" spans="1:17" ht="14.1" customHeight="1">
      <c r="D14" s="2" t="s">
        <v>15</v>
      </c>
      <c r="F14" s="15">
        <v>99</v>
      </c>
      <c r="G14" s="15">
        <v>99</v>
      </c>
      <c r="H14" s="15">
        <v>99</v>
      </c>
      <c r="I14" s="15">
        <v>99</v>
      </c>
      <c r="J14" s="15">
        <v>99</v>
      </c>
      <c r="K14" s="24">
        <v>99</v>
      </c>
      <c r="L14" s="24">
        <v>99</v>
      </c>
      <c r="M14" s="24">
        <v>99</v>
      </c>
      <c r="N14" s="2">
        <v>99</v>
      </c>
      <c r="O14" s="24">
        <v>99</v>
      </c>
      <c r="P14" s="24">
        <v>99</v>
      </c>
      <c r="Q14" s="24">
        <v>99</v>
      </c>
    </row>
    <row r="15" spans="1:17" ht="14.1" customHeight="1">
      <c r="F15" s="15"/>
      <c r="G15" s="15"/>
      <c r="H15" s="15"/>
      <c r="I15" s="15"/>
      <c r="J15" s="15"/>
      <c r="K15" s="24"/>
      <c r="O15" s="24"/>
    </row>
    <row r="16" spans="1:17" ht="14.1" customHeight="1">
      <c r="A16" s="1"/>
      <c r="B16" s="1" t="s">
        <v>168</v>
      </c>
      <c r="C16" s="1"/>
      <c r="D16" s="1"/>
      <c r="E16" s="1"/>
      <c r="F16" s="13">
        <f t="shared" ref="F16:Q16" si="3">+F18+F19</f>
        <v>285983</v>
      </c>
      <c r="G16" s="13">
        <f t="shared" si="3"/>
        <v>289666</v>
      </c>
      <c r="H16" s="13">
        <f t="shared" si="3"/>
        <v>288179</v>
      </c>
      <c r="I16" s="13">
        <f t="shared" si="3"/>
        <v>285794</v>
      </c>
      <c r="J16" s="13">
        <f t="shared" si="3"/>
        <v>286902</v>
      </c>
      <c r="K16" s="20">
        <f t="shared" si="3"/>
        <v>287509</v>
      </c>
      <c r="L16" s="20">
        <f t="shared" si="3"/>
        <v>289952</v>
      </c>
      <c r="M16" s="20">
        <f t="shared" si="3"/>
        <v>294692</v>
      </c>
      <c r="N16" s="20">
        <f t="shared" si="3"/>
        <v>286507</v>
      </c>
      <c r="O16" s="20">
        <f t="shared" si="3"/>
        <v>289257</v>
      </c>
      <c r="P16" s="20">
        <f t="shared" si="3"/>
        <v>283764</v>
      </c>
      <c r="Q16" s="20">
        <f t="shared" si="3"/>
        <v>280596</v>
      </c>
    </row>
    <row r="17" spans="1:17" ht="14.1" customHeight="1">
      <c r="A17" s="1"/>
      <c r="B17" s="1"/>
      <c r="C17" s="1"/>
      <c r="D17" s="1"/>
      <c r="E17" s="1"/>
      <c r="F17" s="13"/>
      <c r="G17" s="13"/>
      <c r="H17" s="13"/>
      <c r="I17" s="13"/>
      <c r="J17" s="13"/>
      <c r="K17" s="24"/>
      <c r="O17" s="24"/>
    </row>
    <row r="18" spans="1:17" ht="14.1" customHeight="1">
      <c r="C18" s="2" t="s">
        <v>167</v>
      </c>
      <c r="F18" s="15">
        <v>281728</v>
      </c>
      <c r="G18" s="15">
        <v>285369</v>
      </c>
      <c r="H18" s="15">
        <v>283885</v>
      </c>
      <c r="I18" s="15">
        <v>281527</v>
      </c>
      <c r="J18" s="15">
        <v>282646</v>
      </c>
      <c r="K18" s="24">
        <v>283194</v>
      </c>
      <c r="L18" s="25">
        <v>285631</v>
      </c>
      <c r="M18" s="24">
        <v>290314</v>
      </c>
      <c r="N18" s="24">
        <v>282158</v>
      </c>
      <c r="O18" s="24">
        <v>284835</v>
      </c>
      <c r="P18" s="24">
        <v>279457</v>
      </c>
      <c r="Q18" s="24">
        <v>276322</v>
      </c>
    </row>
    <row r="19" spans="1:17" ht="14.1" customHeight="1">
      <c r="C19" s="2" t="s">
        <v>19</v>
      </c>
      <c r="F19" s="14">
        <f t="shared" ref="F19:Q19" si="4">SUM(F20:F23)</f>
        <v>4255</v>
      </c>
      <c r="G19" s="14">
        <f t="shared" si="4"/>
        <v>4297</v>
      </c>
      <c r="H19" s="14">
        <f t="shared" si="4"/>
        <v>4294</v>
      </c>
      <c r="I19" s="14">
        <f t="shared" si="4"/>
        <v>4267</v>
      </c>
      <c r="J19" s="14">
        <f t="shared" si="4"/>
        <v>4256</v>
      </c>
      <c r="K19" s="22">
        <f t="shared" si="4"/>
        <v>4315</v>
      </c>
      <c r="L19" s="22">
        <f t="shared" si="4"/>
        <v>4321</v>
      </c>
      <c r="M19" s="22">
        <f t="shared" si="4"/>
        <v>4378</v>
      </c>
      <c r="N19" s="22">
        <f t="shared" si="4"/>
        <v>4349</v>
      </c>
      <c r="O19" s="22">
        <f t="shared" si="4"/>
        <v>4422</v>
      </c>
      <c r="P19" s="22">
        <f t="shared" si="4"/>
        <v>4307</v>
      </c>
      <c r="Q19" s="22">
        <f t="shared" si="4"/>
        <v>4274</v>
      </c>
    </row>
    <row r="20" spans="1:17" ht="14.1" customHeight="1">
      <c r="D20" s="2" t="s">
        <v>12</v>
      </c>
      <c r="F20" s="15">
        <v>4216</v>
      </c>
      <c r="G20" s="15">
        <v>4257</v>
      </c>
      <c r="H20" s="15">
        <v>4254</v>
      </c>
      <c r="I20" s="15">
        <v>4227</v>
      </c>
      <c r="J20" s="15">
        <v>4217</v>
      </c>
      <c r="K20" s="24">
        <v>4275</v>
      </c>
      <c r="L20" s="24">
        <v>4281</v>
      </c>
      <c r="M20" s="24">
        <v>4338</v>
      </c>
      <c r="N20" s="24">
        <v>4309</v>
      </c>
      <c r="O20" s="24">
        <v>4381</v>
      </c>
      <c r="P20" s="24">
        <v>4267</v>
      </c>
      <c r="Q20" s="24">
        <v>4235</v>
      </c>
    </row>
    <row r="21" spans="1:17" ht="14.1" customHeight="1">
      <c r="D21" s="2" t="s">
        <v>13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24">
        <v>0</v>
      </c>
      <c r="L21" s="2">
        <v>0</v>
      </c>
      <c r="M21" s="2">
        <v>0</v>
      </c>
      <c r="N21" s="2">
        <v>0</v>
      </c>
      <c r="O21" s="24">
        <v>0</v>
      </c>
      <c r="P21" s="2">
        <v>0</v>
      </c>
      <c r="Q21" s="24">
        <v>0</v>
      </c>
    </row>
    <row r="22" spans="1:17" ht="14.1" customHeight="1">
      <c r="D22" s="2" t="s">
        <v>21</v>
      </c>
      <c r="F22" s="15">
        <v>39</v>
      </c>
      <c r="G22" s="15">
        <v>40</v>
      </c>
      <c r="H22" s="15">
        <v>40</v>
      </c>
      <c r="I22" s="15">
        <v>40</v>
      </c>
      <c r="J22" s="15">
        <v>39</v>
      </c>
      <c r="K22" s="24">
        <v>40</v>
      </c>
      <c r="L22" s="2">
        <v>40</v>
      </c>
      <c r="M22" s="2">
        <v>40</v>
      </c>
      <c r="N22" s="2">
        <v>40</v>
      </c>
      <c r="O22" s="24">
        <v>41</v>
      </c>
      <c r="P22" s="2">
        <v>40</v>
      </c>
      <c r="Q22" s="24">
        <v>39</v>
      </c>
    </row>
    <row r="23" spans="1:17" ht="14.1" customHeight="1">
      <c r="D23" s="2" t="s">
        <v>15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24">
        <v>0</v>
      </c>
      <c r="L23" s="2">
        <v>0</v>
      </c>
      <c r="M23" s="2">
        <v>0</v>
      </c>
      <c r="N23" s="2">
        <v>0</v>
      </c>
      <c r="O23" s="24">
        <v>0</v>
      </c>
      <c r="P23" s="2">
        <v>0</v>
      </c>
      <c r="Q23" s="24">
        <v>0</v>
      </c>
    </row>
    <row r="26" spans="1:17" ht="11.25" customHeight="1">
      <c r="A26" s="8"/>
      <c r="B26" s="9"/>
      <c r="C26" s="9"/>
      <c r="D26" s="9"/>
    </row>
    <row r="27" spans="1:17" ht="11.25" customHeight="1">
      <c r="A27" s="2" t="s">
        <v>11</v>
      </c>
    </row>
    <row r="28" spans="1:17" ht="11.25" customHeight="1">
      <c r="H28" s="2" t="s">
        <v>43</v>
      </c>
    </row>
    <row r="29" spans="1:17" ht="11.25" customHeight="1">
      <c r="A29" s="8"/>
      <c r="B29" s="9"/>
      <c r="C29" s="9"/>
      <c r="D29" s="9"/>
    </row>
    <row r="30" spans="1:17" ht="11.25" customHeight="1">
      <c r="A30" s="2" t="s">
        <v>11</v>
      </c>
    </row>
    <row r="43" spans="1:5" ht="11.25" customHeight="1">
      <c r="A43" s="188">
        <v>43119</v>
      </c>
      <c r="B43" s="188"/>
      <c r="C43" s="188"/>
      <c r="D43" s="188"/>
      <c r="E43" s="188"/>
    </row>
  </sheetData>
  <mergeCells count="2">
    <mergeCell ref="A5:E5"/>
    <mergeCell ref="A43:E43"/>
  </mergeCells>
  <printOptions horizontalCentered="1"/>
  <pageMargins left="0.23622047244094491" right="0" top="0.74803149606299213" bottom="0" header="0" footer="0"/>
  <pageSetup paperSize="9" scale="8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IA58"/>
  <sheetViews>
    <sheetView zoomScaleNormal="100" workbookViewId="0">
      <pane xSplit="5" ySplit="5" topLeftCell="F6" activePane="bottomRight" state="frozen"/>
      <selection activeCell="M88" sqref="M88"/>
      <selection pane="topRight" activeCell="M88" sqref="M88"/>
      <selection pane="bottomLeft" activeCell="M88" sqref="M88"/>
      <selection pane="bottomRight" activeCell="Y18" sqref="Y18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0.140625" style="2" customWidth="1"/>
    <col min="6" max="17" width="10.140625" style="2" bestFit="1" customWidth="1"/>
    <col min="18" max="234" width="9.140625" style="2"/>
    <col min="235" max="235" width="9.42578125" style="2" bestFit="1" customWidth="1"/>
    <col min="236" max="16384" width="9.140625" style="2"/>
  </cols>
  <sheetData>
    <row r="1" spans="1:17">
      <c r="A1" s="19" t="s">
        <v>25</v>
      </c>
      <c r="B1" s="19"/>
      <c r="C1" s="19"/>
      <c r="D1" s="19"/>
      <c r="E1" s="19"/>
      <c r="F1" s="19"/>
    </row>
    <row r="2" spans="1:17">
      <c r="A2" s="19" t="s">
        <v>42</v>
      </c>
      <c r="B2" s="19"/>
      <c r="C2" s="19"/>
      <c r="D2" s="19"/>
      <c r="E2" s="19"/>
      <c r="F2" s="19"/>
    </row>
    <row r="3" spans="1:17">
      <c r="A3" s="4" t="s">
        <v>0</v>
      </c>
      <c r="B3" s="4"/>
      <c r="C3" s="4"/>
      <c r="D3" s="4"/>
      <c r="E3" s="4"/>
      <c r="F3" s="4"/>
    </row>
    <row r="4" spans="1:17" ht="12" customHeight="1">
      <c r="A4" s="4"/>
    </row>
    <row r="5" spans="1:17" ht="22.5" customHeight="1">
      <c r="A5" s="186" t="s">
        <v>1</v>
      </c>
      <c r="B5" s="187"/>
      <c r="C5" s="187"/>
      <c r="D5" s="187"/>
      <c r="E5" s="187"/>
      <c r="F5" s="163" t="s">
        <v>5</v>
      </c>
      <c r="G5" s="163" t="s">
        <v>23</v>
      </c>
      <c r="H5" s="163" t="s">
        <v>24</v>
      </c>
      <c r="I5" s="163" t="s">
        <v>26</v>
      </c>
      <c r="J5" s="163" t="s">
        <v>27</v>
      </c>
      <c r="K5" s="163" t="s">
        <v>36</v>
      </c>
      <c r="L5" s="163" t="s">
        <v>28</v>
      </c>
      <c r="M5" s="163" t="s">
        <v>29</v>
      </c>
      <c r="N5" s="163" t="s">
        <v>30</v>
      </c>
      <c r="O5" s="163" t="s">
        <v>31</v>
      </c>
      <c r="P5" s="163" t="s">
        <v>32</v>
      </c>
      <c r="Q5" s="163" t="s">
        <v>33</v>
      </c>
    </row>
    <row r="6" spans="1:17" ht="16.5" customHeight="1">
      <c r="A6" s="46"/>
      <c r="B6" s="46"/>
      <c r="C6" s="46"/>
      <c r="D6" s="46"/>
      <c r="E6" s="46"/>
      <c r="F6" s="47"/>
      <c r="G6" s="47"/>
      <c r="H6" s="47"/>
    </row>
    <row r="7" spans="1:17" ht="14.25" customHeight="1">
      <c r="A7" s="1" t="s">
        <v>6</v>
      </c>
      <c r="B7" s="1"/>
      <c r="C7" s="1"/>
      <c r="D7" s="1"/>
      <c r="E7" s="1"/>
      <c r="F7" s="13">
        <v>3824109</v>
      </c>
      <c r="G7" s="13">
        <v>3850144</v>
      </c>
      <c r="H7" s="13">
        <v>3841264</v>
      </c>
      <c r="I7" s="20">
        <v>3769307</v>
      </c>
      <c r="J7" s="20">
        <v>3797243</v>
      </c>
      <c r="K7" s="20">
        <v>3828496</v>
      </c>
      <c r="L7" s="20">
        <v>3856658</v>
      </c>
      <c r="M7" s="20">
        <v>3883701</v>
      </c>
      <c r="N7" s="20">
        <v>3904453</v>
      </c>
      <c r="O7" s="20">
        <v>3917821</v>
      </c>
      <c r="P7" s="20">
        <v>3939258</v>
      </c>
      <c r="Q7" s="20">
        <v>3934097</v>
      </c>
    </row>
    <row r="8" spans="1:17">
      <c r="A8" s="1"/>
      <c r="B8" s="1" t="s">
        <v>37</v>
      </c>
      <c r="C8" s="1"/>
      <c r="D8" s="1"/>
      <c r="E8" s="1"/>
      <c r="F8" s="13">
        <v>598</v>
      </c>
      <c r="G8" s="13">
        <v>598</v>
      </c>
      <c r="H8" s="13">
        <v>598</v>
      </c>
      <c r="I8" s="20">
        <v>598</v>
      </c>
      <c r="J8" s="20">
        <v>598</v>
      </c>
      <c r="K8" s="20">
        <v>598</v>
      </c>
      <c r="L8" s="20">
        <v>598</v>
      </c>
      <c r="M8" s="20">
        <v>598</v>
      </c>
      <c r="N8" s="20">
        <v>598</v>
      </c>
      <c r="O8" s="20">
        <v>598</v>
      </c>
      <c r="P8" s="20">
        <v>598</v>
      </c>
      <c r="Q8" s="20">
        <v>598</v>
      </c>
    </row>
    <row r="9" spans="1:17">
      <c r="C9" s="2" t="s">
        <v>10</v>
      </c>
      <c r="F9" s="14">
        <v>156</v>
      </c>
      <c r="G9" s="14">
        <v>156</v>
      </c>
      <c r="H9" s="14">
        <v>156</v>
      </c>
      <c r="I9" s="22">
        <v>156</v>
      </c>
      <c r="J9" s="22">
        <v>156</v>
      </c>
      <c r="K9" s="22">
        <v>156</v>
      </c>
      <c r="L9" s="22">
        <v>156</v>
      </c>
      <c r="M9" s="22">
        <v>156</v>
      </c>
      <c r="N9" s="22">
        <v>156</v>
      </c>
      <c r="O9" s="22">
        <v>156</v>
      </c>
      <c r="P9" s="22">
        <v>156</v>
      </c>
      <c r="Q9" s="22">
        <v>156</v>
      </c>
    </row>
    <row r="10" spans="1:17">
      <c r="D10" s="2" t="s">
        <v>2</v>
      </c>
      <c r="F10" s="15">
        <v>156</v>
      </c>
      <c r="G10" s="15">
        <v>156</v>
      </c>
      <c r="H10" s="15">
        <v>156</v>
      </c>
      <c r="I10" s="24">
        <v>156</v>
      </c>
      <c r="J10" s="24">
        <v>156</v>
      </c>
      <c r="K10" s="24">
        <v>156</v>
      </c>
      <c r="L10" s="2">
        <v>156</v>
      </c>
      <c r="M10" s="2">
        <v>156</v>
      </c>
      <c r="N10" s="2">
        <v>156</v>
      </c>
      <c r="O10" s="2">
        <v>156</v>
      </c>
      <c r="P10" s="2">
        <v>156</v>
      </c>
      <c r="Q10" s="2">
        <v>156</v>
      </c>
    </row>
    <row r="11" spans="1:17">
      <c r="D11" s="2" t="s">
        <v>3</v>
      </c>
      <c r="F11" s="15">
        <v>0</v>
      </c>
      <c r="G11" s="15">
        <v>0</v>
      </c>
      <c r="H11" s="15">
        <v>0</v>
      </c>
      <c r="I11" s="24">
        <v>0</v>
      </c>
      <c r="J11" s="24">
        <v>0</v>
      </c>
      <c r="K11" s="24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C12" s="2" t="s">
        <v>4</v>
      </c>
      <c r="F12" s="14">
        <v>442</v>
      </c>
      <c r="G12" s="14">
        <v>442</v>
      </c>
      <c r="H12" s="14">
        <v>442</v>
      </c>
      <c r="I12" s="22">
        <v>442</v>
      </c>
      <c r="J12" s="22">
        <v>442</v>
      </c>
      <c r="K12" s="22">
        <v>442</v>
      </c>
      <c r="L12" s="22">
        <v>442</v>
      </c>
      <c r="M12" s="22">
        <v>442</v>
      </c>
      <c r="N12" s="22">
        <v>442</v>
      </c>
      <c r="O12" s="22">
        <v>442</v>
      </c>
      <c r="P12" s="22">
        <v>442</v>
      </c>
      <c r="Q12" s="22">
        <v>442</v>
      </c>
    </row>
    <row r="13" spans="1:17" hidden="1">
      <c r="D13" s="2" t="s">
        <v>12</v>
      </c>
      <c r="F13" s="15">
        <v>0</v>
      </c>
      <c r="G13" s="15">
        <v>0</v>
      </c>
      <c r="H13" s="15">
        <v>0</v>
      </c>
      <c r="I13" s="24">
        <v>0</v>
      </c>
      <c r="J13" s="24">
        <v>0</v>
      </c>
      <c r="K13" s="24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D14" s="2" t="s">
        <v>13</v>
      </c>
      <c r="F14" s="15">
        <v>442</v>
      </c>
      <c r="G14" s="15">
        <v>442</v>
      </c>
      <c r="H14" s="15">
        <v>442</v>
      </c>
      <c r="I14" s="24">
        <v>442</v>
      </c>
      <c r="J14" s="24">
        <v>442</v>
      </c>
      <c r="K14" s="24">
        <v>442</v>
      </c>
      <c r="L14" s="2">
        <v>442</v>
      </c>
      <c r="M14" s="2">
        <v>442</v>
      </c>
      <c r="N14" s="2">
        <v>442</v>
      </c>
      <c r="O14" s="2">
        <v>442</v>
      </c>
      <c r="P14" s="2">
        <v>442</v>
      </c>
      <c r="Q14" s="2">
        <v>442</v>
      </c>
    </row>
    <row r="15" spans="1:17" hidden="1">
      <c r="D15" s="2" t="s">
        <v>14</v>
      </c>
      <c r="F15" s="15">
        <v>0</v>
      </c>
      <c r="G15" s="15">
        <v>0</v>
      </c>
      <c r="H15" s="15">
        <v>0</v>
      </c>
      <c r="I15" s="24">
        <v>0</v>
      </c>
      <c r="J15" s="24">
        <v>0</v>
      </c>
      <c r="K15" s="24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idden="1">
      <c r="D16" s="2" t="s">
        <v>15</v>
      </c>
      <c r="F16" s="15">
        <v>0</v>
      </c>
      <c r="G16" s="15">
        <v>0</v>
      </c>
      <c r="H16" s="15">
        <v>0</v>
      </c>
      <c r="I16" s="24">
        <v>0</v>
      </c>
      <c r="J16" s="24">
        <v>0</v>
      </c>
      <c r="K16" s="24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8.25" customHeight="1">
      <c r="F17" s="15"/>
      <c r="G17" s="15"/>
      <c r="H17" s="15"/>
      <c r="I17" s="24"/>
      <c r="J17" s="24"/>
      <c r="K17" s="24"/>
    </row>
    <row r="18" spans="1:17" s="1" customFormat="1" ht="15" customHeight="1">
      <c r="B18" s="1" t="s">
        <v>38</v>
      </c>
      <c r="F18" s="16">
        <v>3823511</v>
      </c>
      <c r="G18" s="16">
        <v>3849546</v>
      </c>
      <c r="H18" s="16">
        <v>3840666</v>
      </c>
      <c r="I18" s="27">
        <v>3768709</v>
      </c>
      <c r="J18" s="27">
        <v>3796645</v>
      </c>
      <c r="K18" s="27">
        <v>3827898</v>
      </c>
      <c r="L18" s="27">
        <v>3856060</v>
      </c>
      <c r="M18" s="27">
        <v>3883103</v>
      </c>
      <c r="N18" s="27">
        <v>3903855</v>
      </c>
      <c r="O18" s="28">
        <v>3917223</v>
      </c>
      <c r="P18" s="28">
        <v>3938660</v>
      </c>
      <c r="Q18" s="27">
        <v>3933499</v>
      </c>
    </row>
    <row r="19" spans="1:17">
      <c r="F19" s="15"/>
      <c r="G19" s="15"/>
      <c r="H19" s="15"/>
      <c r="I19" s="24"/>
      <c r="J19" s="24"/>
      <c r="K19" s="24"/>
      <c r="M19" s="24"/>
    </row>
    <row r="20" spans="1:17" ht="15" customHeight="1">
      <c r="A20" s="1" t="s">
        <v>41</v>
      </c>
      <c r="B20" s="1"/>
      <c r="C20" s="1"/>
      <c r="D20" s="1"/>
      <c r="E20" s="1"/>
      <c r="F20" s="13">
        <v>2076072</v>
      </c>
      <c r="G20" s="13">
        <v>2090667</v>
      </c>
      <c r="H20" s="13">
        <v>2057853</v>
      </c>
      <c r="I20" s="20">
        <v>2114354</v>
      </c>
      <c r="J20" s="20">
        <v>2088350</v>
      </c>
      <c r="K20" s="20">
        <v>2119503</v>
      </c>
      <c r="L20" s="20">
        <v>2125826</v>
      </c>
      <c r="M20" s="20">
        <v>2096327</v>
      </c>
      <c r="N20" s="20">
        <v>2182226</v>
      </c>
      <c r="O20" s="20">
        <v>2151497</v>
      </c>
      <c r="P20" s="20">
        <v>2165776</v>
      </c>
      <c r="Q20" s="20">
        <v>2156165</v>
      </c>
    </row>
    <row r="21" spans="1:17">
      <c r="A21" s="1"/>
      <c r="B21" s="1" t="s">
        <v>37</v>
      </c>
      <c r="C21" s="1"/>
      <c r="D21" s="1"/>
      <c r="E21" s="1"/>
      <c r="F21" s="13">
        <v>781758</v>
      </c>
      <c r="G21" s="13">
        <v>796193</v>
      </c>
      <c r="H21" s="13">
        <v>787112</v>
      </c>
      <c r="I21" s="20">
        <v>818847</v>
      </c>
      <c r="J21" s="20">
        <v>798681</v>
      </c>
      <c r="K21" s="20">
        <v>819753</v>
      </c>
      <c r="L21" s="20">
        <v>823586</v>
      </c>
      <c r="M21" s="20">
        <v>807977</v>
      </c>
      <c r="N21" s="20">
        <v>844811</v>
      </c>
      <c r="O21" s="20">
        <v>835624</v>
      </c>
      <c r="P21" s="20">
        <v>823311</v>
      </c>
      <c r="Q21" s="20">
        <v>814348</v>
      </c>
    </row>
    <row r="22" spans="1:17" ht="15.75" customHeight="1">
      <c r="C22" s="2" t="s">
        <v>10</v>
      </c>
      <c r="F22" s="17">
        <v>781758</v>
      </c>
      <c r="G22" s="17">
        <v>796193</v>
      </c>
      <c r="H22" s="17">
        <v>787112</v>
      </c>
      <c r="I22" s="32">
        <v>818847</v>
      </c>
      <c r="J22" s="32">
        <v>798681</v>
      </c>
      <c r="K22" s="32">
        <v>819753</v>
      </c>
      <c r="L22" s="32">
        <v>823586</v>
      </c>
      <c r="M22" s="32">
        <v>807977</v>
      </c>
      <c r="N22" s="32">
        <v>844811</v>
      </c>
      <c r="O22" s="32">
        <v>835624</v>
      </c>
      <c r="P22" s="32">
        <v>823311</v>
      </c>
      <c r="Q22" s="32">
        <v>814348</v>
      </c>
    </row>
    <row r="23" spans="1:17">
      <c r="D23" s="2" t="s">
        <v>2</v>
      </c>
      <c r="F23" s="15">
        <v>753956</v>
      </c>
      <c r="G23" s="15">
        <v>766818</v>
      </c>
      <c r="H23" s="15">
        <v>759016</v>
      </c>
      <c r="I23" s="24">
        <v>788872</v>
      </c>
      <c r="J23" s="24">
        <v>770009</v>
      </c>
      <c r="K23" s="24">
        <v>789233</v>
      </c>
      <c r="L23" s="24">
        <v>792900</v>
      </c>
      <c r="M23" s="24">
        <v>778206</v>
      </c>
      <c r="N23" s="25">
        <v>813593</v>
      </c>
      <c r="O23" s="25">
        <v>805501</v>
      </c>
      <c r="P23" s="25">
        <v>795070</v>
      </c>
      <c r="Q23" s="24">
        <v>787062</v>
      </c>
    </row>
    <row r="24" spans="1:17">
      <c r="D24" s="2" t="s">
        <v>3</v>
      </c>
      <c r="F24" s="15">
        <v>27802</v>
      </c>
      <c r="G24" s="15">
        <v>29375</v>
      </c>
      <c r="H24" s="15">
        <v>28096</v>
      </c>
      <c r="I24" s="24">
        <v>29975</v>
      </c>
      <c r="J24" s="24">
        <v>28672</v>
      </c>
      <c r="K24" s="24">
        <v>30520</v>
      </c>
      <c r="L24" s="24">
        <v>30686</v>
      </c>
      <c r="M24" s="24">
        <v>29771</v>
      </c>
      <c r="N24" s="25">
        <v>31218</v>
      </c>
      <c r="O24" s="25">
        <v>30123</v>
      </c>
      <c r="P24" s="25">
        <v>28241</v>
      </c>
      <c r="Q24" s="24">
        <v>27286</v>
      </c>
    </row>
    <row r="25" spans="1:17">
      <c r="C25" s="2" t="s">
        <v>4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</row>
    <row r="26" spans="1:17" hidden="1">
      <c r="D26" s="2" t="s">
        <v>12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 hidden="1">
      <c r="D27" s="2" t="s">
        <v>13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 hidden="1">
      <c r="D28" s="2" t="s">
        <v>14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 hidden="1">
      <c r="D29" s="2" t="s">
        <v>15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7" hidden="1">
      <c r="D30" s="2" t="s">
        <v>16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</row>
    <row r="31" spans="1:17" ht="11.25" customHeight="1">
      <c r="F31" s="15"/>
      <c r="G31" s="15"/>
      <c r="H31" s="15"/>
      <c r="I31" s="24"/>
      <c r="J31" s="24"/>
      <c r="K31" s="24"/>
      <c r="M31" s="24"/>
    </row>
    <row r="32" spans="1:17" s="1" customFormat="1">
      <c r="B32" s="1" t="s">
        <v>38</v>
      </c>
      <c r="F32" s="16">
        <v>1294314</v>
      </c>
      <c r="G32" s="16">
        <v>1294474</v>
      </c>
      <c r="H32" s="16">
        <v>1270741</v>
      </c>
      <c r="I32" s="27">
        <v>1295507</v>
      </c>
      <c r="J32" s="27">
        <v>1289669</v>
      </c>
      <c r="K32" s="27">
        <v>1299750</v>
      </c>
      <c r="L32" s="27">
        <v>1302240</v>
      </c>
      <c r="M32" s="27">
        <v>1288350</v>
      </c>
      <c r="N32" s="27">
        <v>1337415</v>
      </c>
      <c r="O32" s="28">
        <v>1315873</v>
      </c>
      <c r="P32" s="28">
        <v>1342465</v>
      </c>
      <c r="Q32" s="27">
        <v>1341817</v>
      </c>
    </row>
    <row r="33" spans="1:235">
      <c r="I33" s="24"/>
      <c r="J33" s="24"/>
      <c r="K33" s="24"/>
      <c r="M33" s="24"/>
      <c r="IA33" s="2">
        <v>0</v>
      </c>
    </row>
    <row r="34" spans="1:235">
      <c r="C34" s="1" t="s">
        <v>7</v>
      </c>
      <c r="D34" s="1"/>
      <c r="E34" s="1"/>
      <c r="F34" s="41">
        <v>5900181</v>
      </c>
      <c r="G34" s="41">
        <v>5940811</v>
      </c>
      <c r="H34" s="41">
        <v>5899117</v>
      </c>
      <c r="I34" s="42">
        <v>5883661</v>
      </c>
      <c r="J34" s="42">
        <v>5885593</v>
      </c>
      <c r="K34" s="42">
        <v>5947999</v>
      </c>
      <c r="L34" s="42">
        <v>5982484</v>
      </c>
      <c r="M34" s="42">
        <v>5980028</v>
      </c>
      <c r="N34" s="42">
        <v>6086679</v>
      </c>
      <c r="O34" s="42">
        <v>6069318</v>
      </c>
      <c r="P34" s="42">
        <v>6105034</v>
      </c>
      <c r="Q34" s="42">
        <v>6090262</v>
      </c>
    </row>
    <row r="35" spans="1:235">
      <c r="A35" s="8"/>
      <c r="B35" s="9"/>
      <c r="C35" s="9"/>
      <c r="D35" s="9"/>
    </row>
    <row r="36" spans="1:235">
      <c r="A36" s="2" t="s">
        <v>11</v>
      </c>
      <c r="L36" s="24"/>
    </row>
    <row r="37" spans="1:235">
      <c r="A37" s="1"/>
    </row>
    <row r="38" spans="1:235" s="11" customFormat="1">
      <c r="A38" s="10" t="s">
        <v>8</v>
      </c>
      <c r="B38" s="10"/>
      <c r="C38" s="10"/>
      <c r="D38" s="10"/>
      <c r="E38" s="10"/>
      <c r="F38" s="10">
        <v>47.685000000000002</v>
      </c>
      <c r="G38" s="11">
        <v>47.567999999999998</v>
      </c>
      <c r="H38" s="11">
        <v>45.988999999999997</v>
      </c>
      <c r="I38" s="11">
        <v>46.887</v>
      </c>
      <c r="J38" s="11">
        <v>46.723999999999997</v>
      </c>
      <c r="K38" s="11">
        <v>47.006999999999998</v>
      </c>
      <c r="L38" s="11">
        <v>47.09</v>
      </c>
      <c r="M38" s="11">
        <v>46.552</v>
      </c>
      <c r="N38" s="11">
        <v>48.481999999999999</v>
      </c>
      <c r="O38" s="11">
        <v>48.484999999999999</v>
      </c>
      <c r="P38" s="11">
        <v>49.747</v>
      </c>
      <c r="Q38" s="11">
        <v>49.768999999999998</v>
      </c>
    </row>
    <row r="39" spans="1:235" s="11" customFormat="1">
      <c r="A39" s="10"/>
      <c r="B39" s="10"/>
      <c r="C39" s="10"/>
      <c r="D39" s="10"/>
      <c r="E39" s="10"/>
    </row>
    <row r="40" spans="1:235" s="11" customFormat="1">
      <c r="A40" s="10"/>
      <c r="B40" s="10"/>
      <c r="C40" s="10"/>
      <c r="D40" s="10"/>
      <c r="E40" s="10"/>
    </row>
    <row r="41" spans="1:235">
      <c r="A41" s="11" t="s">
        <v>22</v>
      </c>
    </row>
    <row r="42" spans="1:235">
      <c r="A42" s="11"/>
    </row>
    <row r="43" spans="1:235">
      <c r="A43" s="48"/>
      <c r="E43" s="11"/>
    </row>
    <row r="44" spans="1:235">
      <c r="A44" s="12"/>
      <c r="E44" s="11"/>
    </row>
    <row r="45" spans="1:235">
      <c r="A45" s="12"/>
      <c r="E45" s="11"/>
    </row>
    <row r="46" spans="1:235">
      <c r="A46" s="12"/>
      <c r="E46" s="11"/>
    </row>
    <row r="47" spans="1:235">
      <c r="A47" s="12"/>
      <c r="E47" s="11"/>
    </row>
    <row r="48" spans="1:235">
      <c r="A48" s="12"/>
      <c r="E48" s="11"/>
    </row>
    <row r="49" spans="1:5">
      <c r="A49" s="12"/>
      <c r="E49" s="11"/>
    </row>
    <row r="50" spans="1:5">
      <c r="A50" s="12"/>
      <c r="E50" s="11"/>
    </row>
    <row r="51" spans="1:5">
      <c r="A51" s="12"/>
      <c r="E51" s="11"/>
    </row>
    <row r="52" spans="1:5">
      <c r="A52" s="12"/>
      <c r="E52" s="11"/>
    </row>
    <row r="53" spans="1:5">
      <c r="A53" s="12"/>
      <c r="E53" s="11"/>
    </row>
    <row r="54" spans="1:5">
      <c r="A54" s="12"/>
      <c r="E54" s="11"/>
    </row>
    <row r="55" spans="1:5">
      <c r="A55" s="12"/>
      <c r="E55" s="11"/>
    </row>
    <row r="56" spans="1:5">
      <c r="A56" s="12"/>
      <c r="E56" s="11"/>
    </row>
    <row r="57" spans="1:5">
      <c r="A57" s="12"/>
      <c r="E57" s="11"/>
    </row>
    <row r="58" spans="1:5">
      <c r="A58" s="12"/>
      <c r="E58" s="11"/>
    </row>
  </sheetData>
  <mergeCells count="1">
    <mergeCell ref="A5:E5"/>
  </mergeCells>
  <printOptions horizontalCentered="1"/>
  <pageMargins left="0.51181102362204722" right="0" top="0.74803149606299213" bottom="0" header="0" footer="0"/>
  <pageSetup paperSize="9" scale="7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693D-6B7D-41F5-97C1-37830F05B612}">
  <sheetPr>
    <pageSetUpPr fitToPage="1"/>
  </sheetPr>
  <dimension ref="A1:IJ102"/>
  <sheetViews>
    <sheetView topLeftCell="A61" zoomScaleNormal="100" workbookViewId="0">
      <pane xSplit="5" ySplit="7" topLeftCell="F68" activePane="bottomRight" state="frozen"/>
      <selection activeCell="M88" sqref="M88"/>
      <selection pane="topRight" activeCell="M88" sqref="M88"/>
      <selection pane="bottomLeft" activeCell="M88" sqref="M88"/>
      <selection pane="bottomRight" activeCell="AC104" sqref="AC104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0" style="2" customWidth="1"/>
    <col min="6" max="14" width="8.7109375" style="2" customWidth="1"/>
    <col min="15" max="15" width="8.7109375" style="24" customWidth="1"/>
    <col min="16" max="17" width="8.7109375" style="2" customWidth="1"/>
    <col min="18" max="54" width="9.140625" style="2" customWidth="1"/>
    <col min="55" max="243" width="9.140625" style="2"/>
    <col min="244" max="244" width="9.28515625" style="2" bestFit="1" customWidth="1"/>
    <col min="245" max="16384" width="9.140625" style="2"/>
  </cols>
  <sheetData>
    <row r="1" spans="1:13" hidden="1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70"/>
      <c r="L1" s="70"/>
      <c r="M1" s="70"/>
    </row>
    <row r="2" spans="1:13" hidden="1">
      <c r="A2" s="180" t="s">
        <v>174</v>
      </c>
      <c r="B2" s="180"/>
      <c r="C2" s="180"/>
      <c r="D2" s="180"/>
      <c r="E2" s="180"/>
      <c r="F2" s="180"/>
      <c r="G2" s="180"/>
      <c r="H2" s="72"/>
      <c r="I2" s="72"/>
      <c r="J2" s="72"/>
    </row>
    <row r="3" spans="1:13" hidden="1">
      <c r="A3" s="181" t="s">
        <v>0</v>
      </c>
      <c r="B3" s="181"/>
      <c r="C3" s="181"/>
      <c r="D3" s="181"/>
      <c r="E3" s="181"/>
      <c r="F3" s="181"/>
      <c r="G3" s="181"/>
      <c r="H3" s="149"/>
      <c r="I3" s="149"/>
      <c r="J3" s="149"/>
    </row>
    <row r="4" spans="1:13" hidden="1">
      <c r="A4" s="4"/>
    </row>
    <row r="5" spans="1:13" hidden="1">
      <c r="A5" s="4"/>
    </row>
    <row r="6" spans="1:13" ht="16.5" hidden="1" customHeight="1">
      <c r="A6" s="182" t="s">
        <v>1</v>
      </c>
      <c r="B6" s="183"/>
      <c r="C6" s="183"/>
      <c r="D6" s="183"/>
      <c r="E6" s="183"/>
      <c r="F6" s="74" t="s">
        <v>5</v>
      </c>
      <c r="G6" s="147"/>
      <c r="H6" s="147"/>
      <c r="I6" s="147"/>
      <c r="J6" s="147"/>
    </row>
    <row r="7" spans="1:13" ht="16.5" hidden="1" customHeight="1">
      <c r="A7" s="46"/>
      <c r="B7" s="46"/>
      <c r="C7" s="46"/>
      <c r="D7" s="46"/>
      <c r="E7" s="46"/>
      <c r="F7" s="47"/>
    </row>
    <row r="8" spans="1:13" ht="14.25" hidden="1" customHeight="1">
      <c r="A8" s="1" t="s">
        <v>6</v>
      </c>
      <c r="B8" s="1"/>
      <c r="C8" s="1"/>
      <c r="D8" s="1"/>
      <c r="E8" s="1"/>
      <c r="F8" s="13">
        <f>+F10+F15</f>
        <v>3620441</v>
      </c>
    </row>
    <row r="9" spans="1:13" hidden="1">
      <c r="A9" s="1"/>
      <c r="B9" s="1"/>
      <c r="C9" s="1"/>
      <c r="D9" s="1"/>
      <c r="E9" s="1"/>
      <c r="F9" s="13"/>
    </row>
    <row r="10" spans="1:13" hidden="1">
      <c r="B10" s="2" t="s">
        <v>9</v>
      </c>
      <c r="F10" s="14">
        <f>+F11+F12+F13</f>
        <v>3619999</v>
      </c>
      <c r="L10" s="15"/>
    </row>
    <row r="11" spans="1:13" ht="15" hidden="1" customHeight="1">
      <c r="C11" s="2" t="s">
        <v>169</v>
      </c>
      <c r="F11" s="15">
        <v>3619843</v>
      </c>
    </row>
    <row r="12" spans="1:13" hidden="1">
      <c r="C12" s="2" t="s">
        <v>2</v>
      </c>
      <c r="F12" s="15">
        <v>156</v>
      </c>
    </row>
    <row r="13" spans="1:13" hidden="1">
      <c r="C13" s="2" t="s">
        <v>3</v>
      </c>
      <c r="F13" s="15">
        <v>0</v>
      </c>
    </row>
    <row r="14" spans="1:13" ht="8.25" hidden="1" customHeight="1">
      <c r="F14" s="15"/>
    </row>
    <row r="15" spans="1:13" hidden="1">
      <c r="B15" s="2" t="s">
        <v>4</v>
      </c>
      <c r="F15" s="14">
        <f>SUM(F16:F19)</f>
        <v>442</v>
      </c>
    </row>
    <row r="16" spans="1:13" hidden="1">
      <c r="C16" s="2" t="s">
        <v>12</v>
      </c>
      <c r="F16" s="15">
        <v>0</v>
      </c>
    </row>
    <row r="17" spans="1:6" hidden="1">
      <c r="C17" s="2" t="s">
        <v>13</v>
      </c>
      <c r="F17" s="15">
        <v>442</v>
      </c>
    </row>
    <row r="18" spans="1:6" hidden="1">
      <c r="C18" s="2" t="s">
        <v>14</v>
      </c>
      <c r="F18" s="15">
        <v>0</v>
      </c>
    </row>
    <row r="19" spans="1:6" hidden="1">
      <c r="C19" s="2" t="s">
        <v>15</v>
      </c>
      <c r="F19" s="15">
        <v>0</v>
      </c>
    </row>
    <row r="20" spans="1:6" hidden="1">
      <c r="F20" s="15"/>
    </row>
    <row r="21" spans="1:6" ht="15" hidden="1" customHeight="1">
      <c r="A21" s="1" t="s">
        <v>170</v>
      </c>
      <c r="B21" s="1"/>
      <c r="C21" s="1"/>
      <c r="D21" s="1"/>
      <c r="E21" s="1"/>
      <c r="F21" s="13">
        <f>+F22+F26+F33</f>
        <v>1973306</v>
      </c>
    </row>
    <row r="22" spans="1:6" ht="15.75" hidden="1" customHeight="1">
      <c r="B22" s="2" t="s">
        <v>10</v>
      </c>
      <c r="F22" s="14">
        <f>+F23+F24</f>
        <v>719517</v>
      </c>
    </row>
    <row r="23" spans="1:6" hidden="1">
      <c r="C23" s="2" t="s">
        <v>2</v>
      </c>
      <c r="F23" s="15">
        <v>679732</v>
      </c>
    </row>
    <row r="24" spans="1:6" hidden="1">
      <c r="C24" s="2" t="s">
        <v>3</v>
      </c>
      <c r="F24" s="15">
        <v>39785</v>
      </c>
    </row>
    <row r="25" spans="1:6" ht="9" hidden="1" customHeight="1">
      <c r="F25" s="14"/>
    </row>
    <row r="26" spans="1:6" hidden="1">
      <c r="B26" s="2" t="s">
        <v>4</v>
      </c>
      <c r="F26" s="14">
        <f>SUM(F27:F31)</f>
        <v>0</v>
      </c>
    </row>
    <row r="27" spans="1:6" hidden="1">
      <c r="D27" s="2" t="s">
        <v>12</v>
      </c>
      <c r="F27" s="15">
        <v>0</v>
      </c>
    </row>
    <row r="28" spans="1:6" hidden="1">
      <c r="D28" s="2" t="s">
        <v>13</v>
      </c>
      <c r="F28" s="15">
        <v>0</v>
      </c>
    </row>
    <row r="29" spans="1:6" hidden="1">
      <c r="D29" s="2" t="s">
        <v>14</v>
      </c>
      <c r="F29" s="15">
        <v>0</v>
      </c>
    </row>
    <row r="30" spans="1:6" hidden="1">
      <c r="D30" s="2" t="s">
        <v>15</v>
      </c>
      <c r="F30" s="15">
        <v>0</v>
      </c>
    </row>
    <row r="31" spans="1:6" hidden="1">
      <c r="D31" s="2" t="s">
        <v>16</v>
      </c>
      <c r="F31" s="15">
        <v>0</v>
      </c>
    </row>
    <row r="32" spans="1:6" ht="11.25" hidden="1" customHeight="1">
      <c r="F32" s="15"/>
    </row>
    <row r="33" spans="1:244" hidden="1">
      <c r="B33" s="2" t="s">
        <v>173</v>
      </c>
      <c r="F33" s="15">
        <v>1253789</v>
      </c>
    </row>
    <row r="34" spans="1:244" hidden="1">
      <c r="IJ34" s="2">
        <v>0</v>
      </c>
    </row>
    <row r="35" spans="1:244" hidden="1"/>
    <row r="36" spans="1:244" hidden="1">
      <c r="C36" s="1" t="s">
        <v>7</v>
      </c>
      <c r="D36" s="1"/>
      <c r="E36" s="1"/>
      <c r="F36" s="41">
        <f>+F8+F21+1</f>
        <v>5593748</v>
      </c>
    </row>
    <row r="37" spans="1:244" hidden="1">
      <c r="A37" s="8"/>
      <c r="B37" s="9"/>
      <c r="C37" s="9"/>
      <c r="D37" s="9"/>
    </row>
    <row r="38" spans="1:244" hidden="1">
      <c r="A38" s="2" t="s">
        <v>11</v>
      </c>
    </row>
    <row r="39" spans="1:244" hidden="1">
      <c r="A39" s="1"/>
    </row>
    <row r="40" spans="1:244" s="11" customFormat="1" hidden="1">
      <c r="A40" s="10" t="s">
        <v>8</v>
      </c>
      <c r="B40" s="10"/>
      <c r="C40" s="10"/>
      <c r="D40" s="10"/>
      <c r="E40" s="10"/>
      <c r="F40" s="71">
        <v>45.2</v>
      </c>
      <c r="O40" s="153"/>
    </row>
    <row r="41" spans="1:244" s="11" customFormat="1" hidden="1">
      <c r="A41" s="10"/>
      <c r="B41" s="10"/>
      <c r="C41" s="10"/>
      <c r="D41" s="10"/>
      <c r="E41" s="10"/>
      <c r="O41" s="153"/>
    </row>
    <row r="42" spans="1:244" s="11" customFormat="1" hidden="1">
      <c r="A42" s="10"/>
      <c r="B42" s="10"/>
      <c r="C42" s="10"/>
      <c r="D42" s="10"/>
      <c r="E42" s="10"/>
      <c r="O42" s="153"/>
    </row>
    <row r="43" spans="1:244" hidden="1">
      <c r="A43" s="11" t="s">
        <v>22</v>
      </c>
    </row>
    <row r="44" spans="1:244" hidden="1">
      <c r="A44" s="11"/>
    </row>
    <row r="45" spans="1:244" hidden="1">
      <c r="A45" s="48"/>
      <c r="E45" s="11"/>
    </row>
    <row r="46" spans="1:244" hidden="1">
      <c r="A46" s="12"/>
      <c r="E46" s="11"/>
    </row>
    <row r="47" spans="1:244" hidden="1">
      <c r="A47" s="12"/>
      <c r="E47" s="11"/>
    </row>
    <row r="48" spans="1:244" hidden="1">
      <c r="A48" s="12"/>
      <c r="E48" s="11"/>
    </row>
    <row r="49" spans="1:11" hidden="1">
      <c r="A49" s="12"/>
      <c r="E49" s="11"/>
    </row>
    <row r="50" spans="1:11" hidden="1">
      <c r="A50" s="12"/>
      <c r="E50" s="11"/>
    </row>
    <row r="51" spans="1:11" hidden="1">
      <c r="A51" s="12"/>
      <c r="E51" s="11"/>
    </row>
    <row r="52" spans="1:11" hidden="1">
      <c r="A52" s="12"/>
      <c r="E52" s="11"/>
    </row>
    <row r="53" spans="1:11" hidden="1">
      <c r="A53" s="12"/>
      <c r="E53" s="11"/>
    </row>
    <row r="54" spans="1:11" hidden="1">
      <c r="A54" s="12"/>
      <c r="E54" s="11"/>
    </row>
    <row r="55" spans="1:11" hidden="1">
      <c r="A55" s="12"/>
      <c r="E55" s="11"/>
    </row>
    <row r="56" spans="1:11" hidden="1">
      <c r="A56" s="12"/>
      <c r="E56" s="11"/>
    </row>
    <row r="57" spans="1:11" hidden="1">
      <c r="A57" s="12"/>
      <c r="E57" s="11"/>
    </row>
    <row r="58" spans="1:11" hidden="1">
      <c r="A58" s="12"/>
      <c r="E58" s="11"/>
    </row>
    <row r="59" spans="1:11" hidden="1">
      <c r="A59" s="12"/>
      <c r="E59" s="11"/>
    </row>
    <row r="60" spans="1:11" hidden="1">
      <c r="A60" s="12"/>
      <c r="E60" s="11"/>
    </row>
    <row r="61" spans="1:11">
      <c r="A61" s="19" t="s">
        <v>138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>
      <c r="A62" s="19" t="str">
        <f>'[6]2016'!A2</f>
        <v>As of December 2016</v>
      </c>
      <c r="B62" s="19"/>
      <c r="C62" s="19"/>
      <c r="D62" s="19"/>
      <c r="E62" s="19"/>
      <c r="F62" s="19"/>
      <c r="G62" s="19"/>
      <c r="H62" s="19"/>
      <c r="I62" s="19"/>
      <c r="J62" s="19"/>
    </row>
    <row r="63" spans="1:11">
      <c r="A63" s="4" t="s">
        <v>0</v>
      </c>
      <c r="B63" s="4"/>
      <c r="C63" s="4"/>
      <c r="D63" s="4"/>
      <c r="E63" s="4"/>
      <c r="F63" s="4"/>
      <c r="G63" s="4"/>
      <c r="H63" s="4"/>
      <c r="I63" s="4"/>
      <c r="J63" s="4"/>
    </row>
    <row r="64" spans="1:11">
      <c r="A64" s="73"/>
      <c r="B64" s="73"/>
      <c r="C64" s="73"/>
      <c r="D64" s="73"/>
      <c r="E64" s="73"/>
      <c r="F64" s="73"/>
    </row>
    <row r="65" spans="1:18" ht="25.5" customHeight="1">
      <c r="A65" s="187" t="s">
        <v>1</v>
      </c>
      <c r="B65" s="187"/>
      <c r="C65" s="187"/>
      <c r="D65" s="187"/>
      <c r="E65" s="187"/>
      <c r="F65" s="163" t="s">
        <v>5</v>
      </c>
      <c r="G65" s="163" t="s">
        <v>23</v>
      </c>
      <c r="H65" s="163" t="s">
        <v>24</v>
      </c>
      <c r="I65" s="163" t="s">
        <v>26</v>
      </c>
      <c r="J65" s="163" t="s">
        <v>27</v>
      </c>
      <c r="K65" s="163" t="s">
        <v>36</v>
      </c>
      <c r="L65" s="163" t="s">
        <v>28</v>
      </c>
      <c r="M65" s="163" t="s">
        <v>29</v>
      </c>
      <c r="N65" s="163" t="s">
        <v>30</v>
      </c>
      <c r="O65" s="172" t="s">
        <v>31</v>
      </c>
      <c r="P65" s="172" t="s">
        <v>32</v>
      </c>
      <c r="Q65" s="172" t="s">
        <v>33</v>
      </c>
    </row>
    <row r="66" spans="1:18" ht="9" customHeight="1">
      <c r="P66" s="24"/>
    </row>
    <row r="67" spans="1:18">
      <c r="A67" s="1" t="s">
        <v>17</v>
      </c>
      <c r="B67" s="1"/>
      <c r="C67" s="1"/>
      <c r="D67" s="1"/>
      <c r="E67" s="1"/>
      <c r="F67" s="13">
        <f t="shared" ref="F67:Q67" si="0">+F69+F76</f>
        <v>537281</v>
      </c>
      <c r="G67" s="13">
        <f t="shared" si="0"/>
        <v>561391</v>
      </c>
      <c r="H67" s="13">
        <f t="shared" si="0"/>
        <v>549543</v>
      </c>
      <c r="I67" s="13">
        <f t="shared" si="0"/>
        <v>564487</v>
      </c>
      <c r="J67" s="13">
        <f t="shared" si="0"/>
        <v>554555</v>
      </c>
      <c r="K67" s="21">
        <f t="shared" si="0"/>
        <v>563258</v>
      </c>
      <c r="L67" s="21">
        <f t="shared" si="0"/>
        <v>562405</v>
      </c>
      <c r="M67" s="21">
        <f t="shared" si="0"/>
        <v>554024</v>
      </c>
      <c r="N67" s="21">
        <f t="shared" si="0"/>
        <v>564953</v>
      </c>
      <c r="O67" s="20">
        <f t="shared" si="0"/>
        <v>560652</v>
      </c>
      <c r="P67" s="20">
        <f t="shared" si="0"/>
        <v>532093</v>
      </c>
      <c r="Q67" s="20">
        <f t="shared" si="0"/>
        <v>513673</v>
      </c>
    </row>
    <row r="68" spans="1:18">
      <c r="A68" s="1"/>
      <c r="B68" s="1"/>
      <c r="C68" s="1"/>
      <c r="D68" s="1"/>
      <c r="E68" s="1"/>
      <c r="F68" s="13" t="s">
        <v>35</v>
      </c>
      <c r="G68" s="13"/>
      <c r="H68" s="13"/>
      <c r="I68" s="13"/>
      <c r="J68" s="13"/>
      <c r="K68" s="25"/>
      <c r="L68" s="25"/>
      <c r="M68" s="25"/>
      <c r="N68" s="25"/>
      <c r="P68" s="24"/>
      <c r="Q68" s="24"/>
    </row>
    <row r="69" spans="1:18">
      <c r="A69" s="1"/>
      <c r="B69" s="1" t="s">
        <v>18</v>
      </c>
      <c r="C69" s="1"/>
      <c r="D69" s="1"/>
      <c r="E69" s="1"/>
      <c r="F69" s="13">
        <f t="shared" ref="F69:Q69" si="1">+F71+F72</f>
        <v>235535</v>
      </c>
      <c r="G69" s="13">
        <f t="shared" si="1"/>
        <v>251357</v>
      </c>
      <c r="H69" s="13">
        <f t="shared" si="1"/>
        <v>251462</v>
      </c>
      <c r="I69" s="13">
        <f t="shared" si="1"/>
        <v>252311</v>
      </c>
      <c r="J69" s="13">
        <f t="shared" si="1"/>
        <v>249164</v>
      </c>
      <c r="K69" s="21">
        <f t="shared" si="1"/>
        <v>247574</v>
      </c>
      <c r="L69" s="21">
        <f t="shared" si="1"/>
        <v>245112</v>
      </c>
      <c r="M69" s="21">
        <f t="shared" si="1"/>
        <v>242225</v>
      </c>
      <c r="N69" s="21">
        <f t="shared" si="1"/>
        <v>239019</v>
      </c>
      <c r="O69" s="20">
        <f t="shared" si="1"/>
        <v>238408</v>
      </c>
      <c r="P69" s="20">
        <f t="shared" si="1"/>
        <v>238634</v>
      </c>
      <c r="Q69" s="20">
        <f t="shared" si="1"/>
        <v>233369</v>
      </c>
    </row>
    <row r="70" spans="1:18">
      <c r="A70" s="1"/>
      <c r="B70" s="1"/>
      <c r="C70" s="1"/>
      <c r="D70" s="1"/>
      <c r="E70" s="1"/>
      <c r="F70" s="13"/>
      <c r="G70" s="13"/>
      <c r="H70" s="13"/>
      <c r="I70" s="13"/>
      <c r="J70" s="13"/>
      <c r="K70" s="25"/>
      <c r="P70" s="24"/>
    </row>
    <row r="71" spans="1:18">
      <c r="C71" s="2" t="s">
        <v>167</v>
      </c>
      <c r="F71" s="15">
        <v>235399</v>
      </c>
      <c r="G71" s="15">
        <v>251221</v>
      </c>
      <c r="H71" s="15">
        <v>251326</v>
      </c>
      <c r="I71" s="15">
        <v>252175</v>
      </c>
      <c r="J71" s="15">
        <v>249028</v>
      </c>
      <c r="K71" s="25">
        <v>247438</v>
      </c>
      <c r="L71" s="25">
        <v>244976</v>
      </c>
      <c r="M71" s="24">
        <v>242089</v>
      </c>
      <c r="N71" s="24">
        <v>238883</v>
      </c>
      <c r="O71" s="24">
        <v>238272</v>
      </c>
      <c r="P71" s="24">
        <v>238498</v>
      </c>
      <c r="Q71" s="24">
        <v>233233</v>
      </c>
      <c r="R71" s="154"/>
    </row>
    <row r="72" spans="1:18">
      <c r="C72" s="2" t="s">
        <v>19</v>
      </c>
      <c r="F72" s="14">
        <f>+F73+F74</f>
        <v>136</v>
      </c>
      <c r="G72" s="14">
        <f t="shared" ref="G72:Q72" si="2">+G73+G74</f>
        <v>136</v>
      </c>
      <c r="H72" s="14">
        <f t="shared" si="2"/>
        <v>136</v>
      </c>
      <c r="I72" s="14">
        <f t="shared" si="2"/>
        <v>136</v>
      </c>
      <c r="J72" s="14">
        <f t="shared" si="2"/>
        <v>136</v>
      </c>
      <c r="K72" s="14">
        <f t="shared" si="2"/>
        <v>136</v>
      </c>
      <c r="L72" s="14">
        <f t="shared" si="2"/>
        <v>136</v>
      </c>
      <c r="M72" s="22">
        <f t="shared" si="2"/>
        <v>136</v>
      </c>
      <c r="N72" s="22">
        <f t="shared" si="2"/>
        <v>136</v>
      </c>
      <c r="O72" s="22">
        <f t="shared" si="2"/>
        <v>136</v>
      </c>
      <c r="P72" s="22">
        <f t="shared" si="2"/>
        <v>136</v>
      </c>
      <c r="Q72" s="22">
        <f t="shared" si="2"/>
        <v>136</v>
      </c>
    </row>
    <row r="73" spans="1:18">
      <c r="D73" s="2" t="s">
        <v>20</v>
      </c>
      <c r="F73" s="15">
        <v>37</v>
      </c>
      <c r="G73" s="15">
        <v>37</v>
      </c>
      <c r="H73" s="15">
        <v>37</v>
      </c>
      <c r="I73" s="15">
        <v>37</v>
      </c>
      <c r="J73" s="15">
        <v>37</v>
      </c>
      <c r="K73" s="25">
        <v>37</v>
      </c>
      <c r="L73" s="2">
        <v>37</v>
      </c>
      <c r="M73" s="24">
        <v>37</v>
      </c>
      <c r="N73" s="2">
        <v>37</v>
      </c>
      <c r="O73" s="24">
        <v>37</v>
      </c>
      <c r="P73" s="24">
        <v>37</v>
      </c>
      <c r="Q73" s="2">
        <v>37</v>
      </c>
    </row>
    <row r="74" spans="1:18">
      <c r="D74" s="2" t="s">
        <v>15</v>
      </c>
      <c r="F74" s="15">
        <v>99</v>
      </c>
      <c r="G74" s="15">
        <v>99</v>
      </c>
      <c r="H74" s="15">
        <v>99</v>
      </c>
      <c r="I74" s="15">
        <v>99</v>
      </c>
      <c r="J74" s="15">
        <v>99</v>
      </c>
      <c r="K74" s="25">
        <v>99</v>
      </c>
      <c r="L74" s="2">
        <v>99</v>
      </c>
      <c r="M74" s="24">
        <v>99</v>
      </c>
      <c r="N74" s="2">
        <v>99</v>
      </c>
      <c r="O74" s="24">
        <v>99</v>
      </c>
      <c r="P74" s="24">
        <v>99</v>
      </c>
      <c r="Q74" s="2">
        <v>99</v>
      </c>
    </row>
    <row r="75" spans="1:18">
      <c r="F75" s="15"/>
      <c r="G75" s="15"/>
      <c r="H75" s="15"/>
      <c r="I75" s="15"/>
      <c r="J75" s="15"/>
      <c r="K75" s="25"/>
      <c r="M75" s="24"/>
      <c r="P75" s="24"/>
    </row>
    <row r="76" spans="1:18">
      <c r="A76" s="1"/>
      <c r="B76" s="1" t="s">
        <v>168</v>
      </c>
      <c r="C76" s="1"/>
      <c r="D76" s="1"/>
      <c r="E76" s="1"/>
      <c r="F76" s="13">
        <f t="shared" ref="F76:Q76" si="3">+F78+F79</f>
        <v>301746</v>
      </c>
      <c r="G76" s="13">
        <f t="shared" si="3"/>
        <v>310034</v>
      </c>
      <c r="H76" s="13">
        <f t="shared" si="3"/>
        <v>298081</v>
      </c>
      <c r="I76" s="13">
        <f t="shared" si="3"/>
        <v>312176</v>
      </c>
      <c r="J76" s="13">
        <f t="shared" si="3"/>
        <v>305391</v>
      </c>
      <c r="K76" s="21">
        <f t="shared" si="3"/>
        <v>315684</v>
      </c>
      <c r="L76" s="21">
        <f t="shared" si="3"/>
        <v>317293</v>
      </c>
      <c r="M76" s="20">
        <f t="shared" si="3"/>
        <v>311799</v>
      </c>
      <c r="N76" s="20">
        <f t="shared" si="3"/>
        <v>325934</v>
      </c>
      <c r="O76" s="20">
        <f t="shared" si="3"/>
        <v>322244</v>
      </c>
      <c r="P76" s="20">
        <f t="shared" si="3"/>
        <v>293459</v>
      </c>
      <c r="Q76" s="20">
        <f t="shared" si="3"/>
        <v>280304</v>
      </c>
    </row>
    <row r="77" spans="1:18">
      <c r="A77" s="1"/>
      <c r="B77" s="1"/>
      <c r="C77" s="1"/>
      <c r="D77" s="1"/>
      <c r="E77" s="1"/>
      <c r="F77" s="13"/>
      <c r="G77" s="13"/>
      <c r="H77" s="13"/>
      <c r="I77" s="13"/>
      <c r="J77" s="13"/>
      <c r="K77" s="25"/>
      <c r="M77" s="24"/>
      <c r="P77" s="24"/>
    </row>
    <row r="78" spans="1:18">
      <c r="C78" s="2" t="s">
        <v>167</v>
      </c>
      <c r="F78" s="15">
        <v>297669</v>
      </c>
      <c r="G78" s="15">
        <v>305966</v>
      </c>
      <c r="H78" s="15">
        <v>294147</v>
      </c>
      <c r="I78" s="15">
        <v>308165</v>
      </c>
      <c r="J78" s="15">
        <v>301395</v>
      </c>
      <c r="K78" s="25">
        <v>311664</v>
      </c>
      <c r="L78" s="24">
        <v>313265</v>
      </c>
      <c r="M78" s="24">
        <v>307817</v>
      </c>
      <c r="N78" s="24">
        <v>321787</v>
      </c>
      <c r="O78" s="24">
        <v>318098</v>
      </c>
      <c r="P78" s="24">
        <v>289206</v>
      </c>
      <c r="Q78" s="2">
        <v>276049</v>
      </c>
    </row>
    <row r="79" spans="1:18">
      <c r="C79" s="2" t="s">
        <v>19</v>
      </c>
      <c r="F79" s="14">
        <f t="shared" ref="F79:O79" si="4">SUM(F80:F83)</f>
        <v>4077</v>
      </c>
      <c r="G79" s="14">
        <f t="shared" si="4"/>
        <v>4068</v>
      </c>
      <c r="H79" s="14">
        <f t="shared" si="4"/>
        <v>3934</v>
      </c>
      <c r="I79" s="14">
        <f t="shared" si="4"/>
        <v>4011</v>
      </c>
      <c r="J79" s="14">
        <f t="shared" si="4"/>
        <v>3996</v>
      </c>
      <c r="K79" s="23">
        <f t="shared" si="4"/>
        <v>4020</v>
      </c>
      <c r="L79" s="22">
        <f t="shared" si="4"/>
        <v>4028</v>
      </c>
      <c r="M79" s="22">
        <f t="shared" si="4"/>
        <v>3982</v>
      </c>
      <c r="N79" s="22">
        <f t="shared" si="4"/>
        <v>4147</v>
      </c>
      <c r="O79" s="22">
        <f t="shared" si="4"/>
        <v>4146</v>
      </c>
      <c r="P79" s="22">
        <f t="shared" ref="P79:Q79" si="5">SUM(P80:P83)</f>
        <v>4253</v>
      </c>
      <c r="Q79" s="22">
        <f t="shared" si="5"/>
        <v>4255</v>
      </c>
    </row>
    <row r="80" spans="1:18">
      <c r="D80" s="2" t="s">
        <v>12</v>
      </c>
      <c r="F80" s="15">
        <v>4039</v>
      </c>
      <c r="G80" s="15">
        <v>4030</v>
      </c>
      <c r="H80" s="15">
        <v>3897</v>
      </c>
      <c r="I80" s="15">
        <v>3974</v>
      </c>
      <c r="J80" s="15">
        <v>3959</v>
      </c>
      <c r="K80" s="25">
        <v>3983</v>
      </c>
      <c r="L80" s="24">
        <v>3991</v>
      </c>
      <c r="M80" s="24">
        <v>3945</v>
      </c>
      <c r="N80" s="24">
        <v>4109</v>
      </c>
      <c r="O80" s="24">
        <v>4108</v>
      </c>
      <c r="P80" s="24">
        <v>4214</v>
      </c>
      <c r="Q80" s="2">
        <v>4216</v>
      </c>
    </row>
    <row r="81" spans="1:17">
      <c r="D81" s="2" t="s">
        <v>13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25">
        <v>0</v>
      </c>
      <c r="L81" s="24">
        <v>0</v>
      </c>
      <c r="M81" s="24">
        <v>0</v>
      </c>
      <c r="N81" s="2">
        <v>0</v>
      </c>
      <c r="O81" s="24">
        <v>0</v>
      </c>
      <c r="P81" s="24">
        <v>0</v>
      </c>
      <c r="Q81" s="2">
        <v>0</v>
      </c>
    </row>
    <row r="82" spans="1:17">
      <c r="D82" s="2" t="s">
        <v>21</v>
      </c>
      <c r="F82" s="15">
        <v>38</v>
      </c>
      <c r="G82" s="15">
        <v>38</v>
      </c>
      <c r="H82" s="15">
        <v>37</v>
      </c>
      <c r="I82" s="15">
        <v>37</v>
      </c>
      <c r="J82" s="15">
        <v>37</v>
      </c>
      <c r="K82" s="25">
        <v>37</v>
      </c>
      <c r="L82" s="24">
        <v>37</v>
      </c>
      <c r="M82" s="24">
        <v>37</v>
      </c>
      <c r="N82" s="2">
        <v>38</v>
      </c>
      <c r="O82" s="24">
        <v>38</v>
      </c>
      <c r="P82" s="24">
        <v>39</v>
      </c>
      <c r="Q82" s="2">
        <v>39</v>
      </c>
    </row>
    <row r="83" spans="1:17">
      <c r="D83" s="2" t="s">
        <v>15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25">
        <v>0</v>
      </c>
      <c r="L83" s="24">
        <v>0</v>
      </c>
      <c r="M83" s="24">
        <v>0</v>
      </c>
      <c r="N83" s="2">
        <v>0</v>
      </c>
      <c r="O83" s="24">
        <v>0</v>
      </c>
      <c r="P83" s="24">
        <v>0</v>
      </c>
      <c r="Q83" s="2">
        <v>0</v>
      </c>
    </row>
    <row r="84" spans="1:17">
      <c r="L84" s="24"/>
    </row>
    <row r="86" spans="1:17">
      <c r="A86" s="8"/>
      <c r="B86" s="9"/>
      <c r="C86" s="9"/>
      <c r="D86" s="9"/>
    </row>
    <row r="87" spans="1:17">
      <c r="A87" s="2" t="s">
        <v>11</v>
      </c>
    </row>
    <row r="89" spans="1:17" hidden="1">
      <c r="A89" s="8"/>
      <c r="B89" s="9"/>
      <c r="C89" s="9"/>
      <c r="D89" s="9"/>
    </row>
    <row r="90" spans="1:17" hidden="1">
      <c r="A90" s="2" t="s">
        <v>11</v>
      </c>
    </row>
    <row r="91" spans="1:17" hidden="1"/>
    <row r="92" spans="1:17" hidden="1"/>
    <row r="93" spans="1:17" hidden="1"/>
    <row r="94" spans="1:17" hidden="1"/>
    <row r="95" spans="1:17" hidden="1"/>
    <row r="96" spans="1:17" hidden="1"/>
    <row r="97" hidden="1"/>
    <row r="98" hidden="1"/>
    <row r="99" hidden="1"/>
    <row r="100" hidden="1"/>
    <row r="101" hidden="1"/>
    <row r="102" hidden="1"/>
  </sheetData>
  <mergeCells count="4">
    <mergeCell ref="A2:G2"/>
    <mergeCell ref="A3:G3"/>
    <mergeCell ref="A6:E6"/>
    <mergeCell ref="A65:E65"/>
  </mergeCells>
  <printOptions horizontalCentered="1"/>
  <pageMargins left="0.23622047244094491" right="0" top="0.74803149606299213" bottom="0" header="0" footer="0"/>
  <pageSetup paperSize="9" scale="8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>
    <pageSetUpPr fitToPage="1"/>
  </sheetPr>
  <dimension ref="A1:Q58"/>
  <sheetViews>
    <sheetView zoomScaleNormal="100" workbookViewId="0">
      <pane xSplit="5" ySplit="5" topLeftCell="F6" activePane="bottomRight" state="frozen"/>
      <selection activeCell="L109" sqref="L109"/>
      <selection pane="topRight" activeCell="L109" sqref="L109"/>
      <selection pane="bottomLeft" activeCell="L109" sqref="L109"/>
      <selection pane="bottomRight" activeCell="U22" sqref="U22"/>
    </sheetView>
  </sheetViews>
  <sheetFormatPr defaultRowHeight="16.5"/>
  <cols>
    <col min="1" max="2" width="1.85546875" style="51" customWidth="1"/>
    <col min="3" max="3" width="2.28515625" style="51" customWidth="1"/>
    <col min="4" max="4" width="1.7109375" style="51" customWidth="1"/>
    <col min="5" max="5" width="10.140625" style="51" customWidth="1"/>
    <col min="6" max="17" width="10.140625" style="51" bestFit="1" customWidth="1"/>
    <col min="18" max="16384" width="9.140625" style="51"/>
  </cols>
  <sheetData>
    <row r="1" spans="1:17">
      <c r="A1" s="49" t="s">
        <v>25</v>
      </c>
      <c r="B1" s="49"/>
      <c r="C1" s="49"/>
      <c r="D1" s="49"/>
      <c r="E1" s="49"/>
      <c r="F1" s="49"/>
      <c r="G1" s="49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>
      <c r="A2" s="49" t="s">
        <v>40</v>
      </c>
      <c r="B2" s="49"/>
      <c r="C2" s="49"/>
      <c r="D2" s="49"/>
      <c r="E2" s="49"/>
      <c r="F2" s="49"/>
      <c r="G2" s="49"/>
    </row>
    <row r="3" spans="1:17">
      <c r="A3" s="52" t="s">
        <v>0</v>
      </c>
      <c r="B3" s="52"/>
      <c r="C3" s="52"/>
      <c r="D3" s="52"/>
      <c r="E3" s="52"/>
      <c r="F3" s="52"/>
      <c r="G3" s="52"/>
    </row>
    <row r="4" spans="1:17" ht="12" customHeight="1">
      <c r="A4" s="52"/>
    </row>
    <row r="5" spans="1:17" ht="21" customHeight="1">
      <c r="A5" s="193" t="s">
        <v>1</v>
      </c>
      <c r="B5" s="194"/>
      <c r="C5" s="194"/>
      <c r="D5" s="194"/>
      <c r="E5" s="194"/>
      <c r="F5" s="173" t="s">
        <v>5</v>
      </c>
      <c r="G5" s="173" t="s">
        <v>23</v>
      </c>
      <c r="H5" s="173" t="s">
        <v>24</v>
      </c>
      <c r="I5" s="173" t="s">
        <v>26</v>
      </c>
      <c r="J5" s="173" t="s">
        <v>27</v>
      </c>
      <c r="K5" s="173" t="s">
        <v>36</v>
      </c>
      <c r="L5" s="173" t="s">
        <v>28</v>
      </c>
      <c r="M5" s="173" t="s">
        <v>29</v>
      </c>
      <c r="N5" s="173" t="s">
        <v>39</v>
      </c>
      <c r="O5" s="173" t="s">
        <v>31</v>
      </c>
      <c r="P5" s="173" t="s">
        <v>32</v>
      </c>
      <c r="Q5" s="173" t="s">
        <v>33</v>
      </c>
    </row>
    <row r="6" spans="1:17" ht="9" customHeight="1">
      <c r="A6" s="53"/>
      <c r="B6" s="53"/>
      <c r="C6" s="53"/>
      <c r="D6" s="53"/>
      <c r="E6" s="53"/>
      <c r="F6" s="54"/>
    </row>
    <row r="7" spans="1:17" ht="14.25" customHeight="1">
      <c r="A7" s="55" t="s">
        <v>6</v>
      </c>
      <c r="B7" s="55"/>
      <c r="C7" s="55"/>
      <c r="D7" s="55"/>
      <c r="E7" s="55"/>
      <c r="F7" s="56">
        <v>3828039</v>
      </c>
      <c r="G7" s="56">
        <v>3827569</v>
      </c>
      <c r="H7" s="56">
        <v>3854697</v>
      </c>
      <c r="I7" s="56">
        <v>3850791</v>
      </c>
      <c r="J7" s="56">
        <v>3818498</v>
      </c>
      <c r="K7" s="56">
        <v>3839310</v>
      </c>
      <c r="L7" s="56">
        <v>3858873</v>
      </c>
      <c r="M7" s="56">
        <v>3856015</v>
      </c>
      <c r="N7" s="56">
        <v>3883161</v>
      </c>
      <c r="O7" s="56">
        <v>3898117</v>
      </c>
      <c r="P7" s="56">
        <v>3895707</v>
      </c>
      <c r="Q7" s="56">
        <v>3884380</v>
      </c>
    </row>
    <row r="8" spans="1:17">
      <c r="A8" s="55"/>
      <c r="B8" s="55" t="s">
        <v>37</v>
      </c>
      <c r="C8" s="55"/>
      <c r="D8" s="55"/>
      <c r="E8" s="55"/>
      <c r="F8" s="56">
        <v>598</v>
      </c>
      <c r="G8" s="56">
        <v>598</v>
      </c>
      <c r="H8" s="56">
        <v>598</v>
      </c>
      <c r="I8" s="56">
        <v>598</v>
      </c>
      <c r="J8" s="56">
        <v>598</v>
      </c>
      <c r="K8" s="56">
        <v>598</v>
      </c>
      <c r="L8" s="56">
        <v>598</v>
      </c>
      <c r="M8" s="56">
        <v>598</v>
      </c>
      <c r="N8" s="56">
        <v>598</v>
      </c>
      <c r="O8" s="56">
        <v>598</v>
      </c>
      <c r="P8" s="56">
        <v>598</v>
      </c>
      <c r="Q8" s="56">
        <v>598</v>
      </c>
    </row>
    <row r="9" spans="1:17">
      <c r="C9" s="51" t="s">
        <v>10</v>
      </c>
      <c r="F9" s="57">
        <v>156</v>
      </c>
      <c r="G9" s="57">
        <v>156</v>
      </c>
      <c r="H9" s="57">
        <v>156</v>
      </c>
      <c r="I9" s="57">
        <v>156</v>
      </c>
      <c r="J9" s="57">
        <v>156</v>
      </c>
      <c r="K9" s="57">
        <v>156</v>
      </c>
      <c r="L9" s="57">
        <v>156</v>
      </c>
      <c r="M9" s="57">
        <v>156</v>
      </c>
      <c r="N9" s="57">
        <v>156</v>
      </c>
      <c r="O9" s="57">
        <v>156</v>
      </c>
      <c r="P9" s="57">
        <v>156</v>
      </c>
      <c r="Q9" s="57">
        <v>156</v>
      </c>
    </row>
    <row r="10" spans="1:17">
      <c r="D10" s="51" t="s">
        <v>2</v>
      </c>
      <c r="F10" s="58">
        <v>156</v>
      </c>
      <c r="G10" s="58">
        <v>156</v>
      </c>
      <c r="H10" s="59">
        <v>156</v>
      </c>
      <c r="I10" s="59">
        <v>156</v>
      </c>
      <c r="J10" s="59">
        <v>156</v>
      </c>
      <c r="K10" s="59">
        <v>156</v>
      </c>
      <c r="L10" s="59">
        <v>156</v>
      </c>
      <c r="M10" s="59">
        <v>156</v>
      </c>
      <c r="N10" s="59">
        <v>156</v>
      </c>
      <c r="O10" s="59">
        <v>156</v>
      </c>
      <c r="P10" s="59">
        <v>156</v>
      </c>
      <c r="Q10" s="59">
        <v>156</v>
      </c>
    </row>
    <row r="11" spans="1:17">
      <c r="D11" s="51" t="s">
        <v>3</v>
      </c>
      <c r="F11" s="58">
        <v>0</v>
      </c>
      <c r="G11" s="58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</row>
    <row r="12" spans="1:17">
      <c r="C12" s="51" t="s">
        <v>4</v>
      </c>
      <c r="F12" s="57">
        <v>442</v>
      </c>
      <c r="G12" s="57">
        <v>442</v>
      </c>
      <c r="H12" s="17">
        <v>442</v>
      </c>
      <c r="I12" s="17">
        <v>442</v>
      </c>
      <c r="J12" s="17">
        <v>442</v>
      </c>
      <c r="K12" s="17">
        <v>442</v>
      </c>
      <c r="L12" s="17">
        <v>442</v>
      </c>
      <c r="M12" s="17">
        <v>442</v>
      </c>
      <c r="N12" s="17">
        <v>442</v>
      </c>
      <c r="O12" s="17">
        <v>442</v>
      </c>
      <c r="P12" s="17">
        <v>442</v>
      </c>
      <c r="Q12" s="17">
        <v>442</v>
      </c>
    </row>
    <row r="13" spans="1:17" hidden="1">
      <c r="A13" s="51" t="s">
        <v>127</v>
      </c>
      <c r="D13" s="51" t="s">
        <v>12</v>
      </c>
      <c r="F13" s="58">
        <v>0</v>
      </c>
      <c r="G13" s="58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</row>
    <row r="14" spans="1:17">
      <c r="D14" s="51" t="s">
        <v>13</v>
      </c>
      <c r="F14" s="58">
        <v>442</v>
      </c>
      <c r="G14" s="58">
        <v>442</v>
      </c>
      <c r="H14" s="59">
        <v>442</v>
      </c>
      <c r="I14" s="59">
        <v>442</v>
      </c>
      <c r="J14" s="59">
        <v>442</v>
      </c>
      <c r="K14" s="59">
        <v>442</v>
      </c>
      <c r="L14" s="59">
        <v>442</v>
      </c>
      <c r="M14" s="59">
        <v>442</v>
      </c>
      <c r="N14" s="59">
        <v>442</v>
      </c>
      <c r="O14" s="59">
        <v>442</v>
      </c>
      <c r="P14" s="59">
        <v>442</v>
      </c>
      <c r="Q14" s="59">
        <v>442</v>
      </c>
    </row>
    <row r="15" spans="1:17" hidden="1">
      <c r="D15" s="51" t="s">
        <v>14</v>
      </c>
      <c r="F15" s="58">
        <v>0</v>
      </c>
      <c r="G15" s="58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</row>
    <row r="16" spans="1:17" hidden="1">
      <c r="D16" s="51" t="s">
        <v>15</v>
      </c>
      <c r="F16" s="58">
        <v>0</v>
      </c>
      <c r="G16" s="58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</row>
    <row r="17" spans="1:17" ht="8.25" customHeight="1">
      <c r="F17" s="58"/>
      <c r="G17" s="58"/>
      <c r="H17" s="59"/>
      <c r="I17" s="59"/>
      <c r="J17" s="59"/>
      <c r="K17" s="59"/>
      <c r="L17" s="59"/>
      <c r="M17" s="59"/>
      <c r="N17" s="59"/>
      <c r="O17" s="59"/>
      <c r="P17" s="59"/>
      <c r="Q17" s="59"/>
    </row>
    <row r="18" spans="1:17" s="55" customFormat="1" ht="15" customHeight="1">
      <c r="B18" s="55" t="s">
        <v>38</v>
      </c>
      <c r="F18" s="60">
        <v>3827441</v>
      </c>
      <c r="G18" s="60">
        <v>3826971</v>
      </c>
      <c r="H18" s="61">
        <v>3854099</v>
      </c>
      <c r="I18" s="61">
        <v>3850193</v>
      </c>
      <c r="J18" s="61">
        <v>3817900</v>
      </c>
      <c r="K18" s="61">
        <v>3838712</v>
      </c>
      <c r="L18" s="61">
        <v>3858275</v>
      </c>
      <c r="M18" s="61">
        <v>3855417</v>
      </c>
      <c r="N18" s="61">
        <v>3882563</v>
      </c>
      <c r="O18" s="61">
        <v>3897519</v>
      </c>
      <c r="P18" s="61">
        <v>3895109</v>
      </c>
      <c r="Q18" s="61">
        <v>3883782</v>
      </c>
    </row>
    <row r="19" spans="1:17">
      <c r="F19" s="58"/>
      <c r="G19" s="58"/>
      <c r="H19" s="59"/>
      <c r="I19" s="59"/>
      <c r="J19" s="58"/>
      <c r="K19" s="58"/>
      <c r="L19" s="58"/>
      <c r="M19" s="58"/>
      <c r="N19" s="58"/>
      <c r="O19" s="58"/>
      <c r="P19" s="58"/>
      <c r="Q19" s="58"/>
    </row>
    <row r="20" spans="1:17" ht="15" customHeight="1">
      <c r="A20" s="55" t="s">
        <v>41</v>
      </c>
      <c r="B20" s="55"/>
      <c r="C20" s="55"/>
      <c r="D20" s="55"/>
      <c r="E20" s="55"/>
      <c r="F20" s="56">
        <v>1923836</v>
      </c>
      <c r="G20" s="56">
        <v>1929236</v>
      </c>
      <c r="H20" s="56">
        <v>1932698</v>
      </c>
      <c r="I20" s="56">
        <v>1939597</v>
      </c>
      <c r="J20" s="56">
        <v>1934251</v>
      </c>
      <c r="K20" s="56">
        <v>1976906</v>
      </c>
      <c r="L20" s="56">
        <v>1988352</v>
      </c>
      <c r="M20" s="56">
        <v>2041522</v>
      </c>
      <c r="N20" s="56">
        <v>2052532</v>
      </c>
      <c r="O20" s="56">
        <v>2059593</v>
      </c>
      <c r="P20" s="56">
        <v>2056906</v>
      </c>
      <c r="Q20" s="56">
        <v>2070157</v>
      </c>
    </row>
    <row r="21" spans="1:17">
      <c r="A21" s="55"/>
      <c r="B21" s="55" t="s">
        <v>37</v>
      </c>
      <c r="C21" s="55"/>
      <c r="D21" s="55"/>
      <c r="E21" s="55"/>
      <c r="F21" s="56">
        <v>674257</v>
      </c>
      <c r="G21" s="56">
        <v>681539</v>
      </c>
      <c r="H21" s="56">
        <v>688772</v>
      </c>
      <c r="I21" s="56">
        <v>707130</v>
      </c>
      <c r="J21" s="56">
        <v>696181</v>
      </c>
      <c r="K21" s="56">
        <v>722839</v>
      </c>
      <c r="L21" s="56">
        <v>725518</v>
      </c>
      <c r="M21" s="56">
        <v>749623</v>
      </c>
      <c r="N21" s="56">
        <v>754020</v>
      </c>
      <c r="O21" s="56">
        <v>763404</v>
      </c>
      <c r="P21" s="56">
        <v>757075</v>
      </c>
      <c r="Q21" s="56">
        <v>767510</v>
      </c>
    </row>
    <row r="22" spans="1:17" ht="15.75" customHeight="1">
      <c r="C22" s="51" t="s">
        <v>10</v>
      </c>
      <c r="F22" s="57">
        <v>674257</v>
      </c>
      <c r="G22" s="57">
        <v>681539</v>
      </c>
      <c r="H22" s="17">
        <v>688772</v>
      </c>
      <c r="I22" s="17">
        <v>707130</v>
      </c>
      <c r="J22" s="17">
        <v>696181</v>
      </c>
      <c r="K22" s="17">
        <v>722839</v>
      </c>
      <c r="L22" s="17">
        <v>725518</v>
      </c>
      <c r="M22" s="17">
        <v>749623</v>
      </c>
      <c r="N22" s="17">
        <v>754020</v>
      </c>
      <c r="O22" s="17">
        <v>763404</v>
      </c>
      <c r="P22" s="17">
        <v>757075</v>
      </c>
      <c r="Q22" s="17">
        <v>767510</v>
      </c>
    </row>
    <row r="23" spans="1:17">
      <c r="D23" s="51" t="s">
        <v>2</v>
      </c>
      <c r="F23" s="58">
        <v>645583</v>
      </c>
      <c r="G23" s="58">
        <v>653358</v>
      </c>
      <c r="H23" s="59">
        <v>660657</v>
      </c>
      <c r="I23" s="59">
        <v>679393</v>
      </c>
      <c r="J23" s="59">
        <v>669326</v>
      </c>
      <c r="K23" s="59">
        <v>695493</v>
      </c>
      <c r="L23" s="59">
        <v>698385</v>
      </c>
      <c r="M23" s="59">
        <v>721377</v>
      </c>
      <c r="N23" s="59">
        <v>725736</v>
      </c>
      <c r="O23" s="59">
        <v>735684</v>
      </c>
      <c r="P23" s="59">
        <v>729627</v>
      </c>
      <c r="Q23" s="59">
        <v>739748</v>
      </c>
    </row>
    <row r="24" spans="1:17">
      <c r="D24" s="51" t="s">
        <v>3</v>
      </c>
      <c r="F24" s="58">
        <v>28674</v>
      </c>
      <c r="G24" s="58">
        <v>28181</v>
      </c>
      <c r="H24" s="59">
        <v>28115</v>
      </c>
      <c r="I24" s="59">
        <v>27737</v>
      </c>
      <c r="J24" s="59">
        <v>26855</v>
      </c>
      <c r="K24" s="59">
        <v>27346</v>
      </c>
      <c r="L24" s="59">
        <v>27133</v>
      </c>
      <c r="M24" s="59">
        <v>28246</v>
      </c>
      <c r="N24" s="59">
        <v>28284</v>
      </c>
      <c r="O24" s="59">
        <v>27720</v>
      </c>
      <c r="P24" s="59">
        <v>27448</v>
      </c>
      <c r="Q24" s="59">
        <v>27762</v>
      </c>
    </row>
    <row r="25" spans="1:17">
      <c r="C25" s="51" t="s">
        <v>4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57">
        <v>0</v>
      </c>
      <c r="Q25" s="57">
        <v>0</v>
      </c>
    </row>
    <row r="26" spans="1:17" hidden="1">
      <c r="D26" s="51" t="s">
        <v>12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</row>
    <row r="27" spans="1:17" hidden="1">
      <c r="D27" s="51" t="s">
        <v>13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</row>
    <row r="28" spans="1:17" hidden="1">
      <c r="D28" s="51" t="s">
        <v>14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</row>
    <row r="29" spans="1:17" hidden="1">
      <c r="D29" s="51" t="s">
        <v>15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</row>
    <row r="30" spans="1:17" hidden="1">
      <c r="D30" s="51" t="s">
        <v>16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</row>
    <row r="31" spans="1:17" ht="11.25" customHeight="1">
      <c r="F31" s="58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</row>
    <row r="32" spans="1:17" s="55" customFormat="1">
      <c r="B32" s="55" t="s">
        <v>38</v>
      </c>
      <c r="F32" s="60">
        <v>1249579</v>
      </c>
      <c r="G32" s="60">
        <v>1247697</v>
      </c>
      <c r="H32" s="61">
        <v>1243926</v>
      </c>
      <c r="I32" s="61">
        <v>1232467</v>
      </c>
      <c r="J32" s="61">
        <v>1238070</v>
      </c>
      <c r="K32" s="61">
        <v>1254067</v>
      </c>
      <c r="L32" s="61">
        <v>1262834</v>
      </c>
      <c r="M32" s="61">
        <v>1291899</v>
      </c>
      <c r="N32" s="61">
        <v>1298512</v>
      </c>
      <c r="O32" s="61">
        <v>1296189</v>
      </c>
      <c r="P32" s="61">
        <v>1299831</v>
      </c>
      <c r="Q32" s="61">
        <v>1302647</v>
      </c>
    </row>
    <row r="34" spans="1:17">
      <c r="C34" s="55" t="s">
        <v>7</v>
      </c>
      <c r="D34" s="55"/>
      <c r="E34" s="55"/>
      <c r="F34" s="62">
        <v>5751875</v>
      </c>
      <c r="G34" s="62">
        <v>5756805</v>
      </c>
      <c r="H34" s="62">
        <v>5787395</v>
      </c>
      <c r="I34" s="62">
        <v>5790388</v>
      </c>
      <c r="J34" s="62">
        <v>5752749</v>
      </c>
      <c r="K34" s="62">
        <v>5816216</v>
      </c>
      <c r="L34" s="62">
        <v>5847225</v>
      </c>
      <c r="M34" s="62">
        <v>5897537</v>
      </c>
      <c r="N34" s="62">
        <v>5935693</v>
      </c>
      <c r="O34" s="62">
        <v>5957710</v>
      </c>
      <c r="P34" s="62">
        <v>5952613</v>
      </c>
      <c r="Q34" s="62">
        <v>5954537</v>
      </c>
    </row>
    <row r="35" spans="1:17">
      <c r="A35" s="63"/>
      <c r="B35" s="64"/>
      <c r="C35" s="64"/>
      <c r="D35" s="64"/>
      <c r="H35" s="58"/>
      <c r="I35" s="58"/>
      <c r="J35" s="58"/>
      <c r="K35" s="58"/>
      <c r="L35" s="58"/>
      <c r="M35" s="58"/>
      <c r="N35" s="58"/>
      <c r="O35" s="58"/>
      <c r="P35" s="58"/>
      <c r="Q35" s="58"/>
    </row>
    <row r="36" spans="1:17">
      <c r="A36" s="51" t="s">
        <v>11</v>
      </c>
    </row>
    <row r="37" spans="1:17">
      <c r="A37" s="55"/>
    </row>
    <row r="38" spans="1:17" s="67" customFormat="1">
      <c r="A38" s="65" t="s">
        <v>8</v>
      </c>
      <c r="B38" s="65"/>
      <c r="C38" s="65"/>
      <c r="D38" s="65"/>
      <c r="E38" s="65"/>
      <c r="F38" s="66">
        <v>44.1</v>
      </c>
      <c r="G38" s="66">
        <v>44.05</v>
      </c>
      <c r="H38" s="66">
        <v>44.8</v>
      </c>
      <c r="I38" s="66">
        <v>44.3</v>
      </c>
      <c r="J38" s="66">
        <v>44.6</v>
      </c>
      <c r="K38" s="66">
        <v>45.2</v>
      </c>
      <c r="L38" s="66">
        <v>45.6</v>
      </c>
      <c r="M38" s="66">
        <v>46.7</v>
      </c>
      <c r="N38" s="66">
        <v>46.95</v>
      </c>
      <c r="O38" s="66">
        <v>46.9</v>
      </c>
      <c r="P38" s="66">
        <v>47.1</v>
      </c>
      <c r="Q38" s="66">
        <v>47.15</v>
      </c>
    </row>
    <row r="39" spans="1:17" s="67" customFormat="1">
      <c r="A39" s="65"/>
      <c r="B39" s="65"/>
      <c r="C39" s="65"/>
      <c r="D39" s="65"/>
      <c r="E39" s="65"/>
    </row>
    <row r="40" spans="1:17" s="67" customFormat="1">
      <c r="A40" s="65"/>
      <c r="B40" s="65"/>
      <c r="C40" s="65"/>
      <c r="D40" s="65"/>
      <c r="E40" s="65"/>
    </row>
    <row r="41" spans="1:17">
      <c r="A41" s="67" t="s">
        <v>22</v>
      </c>
    </row>
    <row r="42" spans="1:17">
      <c r="A42" s="67"/>
    </row>
    <row r="43" spans="1:17">
      <c r="A43" s="68"/>
      <c r="E43" s="67"/>
    </row>
    <row r="44" spans="1:17">
      <c r="A44" s="69"/>
      <c r="E44" s="67"/>
    </row>
    <row r="45" spans="1:17">
      <c r="A45" s="69"/>
      <c r="E45" s="67"/>
    </row>
    <row r="46" spans="1:17">
      <c r="A46" s="69"/>
      <c r="E46" s="67"/>
    </row>
    <row r="47" spans="1:17">
      <c r="A47" s="69"/>
      <c r="E47" s="67"/>
    </row>
    <row r="48" spans="1:17">
      <c r="A48" s="69"/>
      <c r="E48" s="67"/>
    </row>
    <row r="49" spans="1:5">
      <c r="A49" s="69"/>
      <c r="E49" s="67"/>
    </row>
    <row r="50" spans="1:5">
      <c r="A50" s="69"/>
      <c r="E50" s="67"/>
    </row>
    <row r="51" spans="1:5">
      <c r="A51" s="69"/>
      <c r="E51" s="67"/>
    </row>
    <row r="52" spans="1:5">
      <c r="A52" s="69"/>
      <c r="E52" s="67"/>
    </row>
    <row r="53" spans="1:5">
      <c r="A53" s="69"/>
      <c r="E53" s="67"/>
    </row>
    <row r="54" spans="1:5">
      <c r="A54" s="69"/>
      <c r="E54" s="67"/>
    </row>
    <row r="55" spans="1:5">
      <c r="A55" s="69"/>
      <c r="E55" s="67"/>
    </row>
    <row r="56" spans="1:5">
      <c r="A56" s="69"/>
      <c r="E56" s="67"/>
    </row>
    <row r="57" spans="1:5">
      <c r="A57" s="69"/>
      <c r="E57" s="67"/>
    </row>
    <row r="58" spans="1:5">
      <c r="A58" s="69"/>
      <c r="E58" s="67"/>
    </row>
  </sheetData>
  <mergeCells count="1">
    <mergeCell ref="A5:E5"/>
  </mergeCells>
  <printOptions horizontalCentered="1"/>
  <pageMargins left="0.51181102362204722" right="0" top="0.74803149606299213" bottom="0" header="0" footer="0"/>
  <pageSetup paperSize="9" scale="7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0D8C-98AD-455F-88E3-01DF8317525E}">
  <sheetPr>
    <pageSetUpPr fitToPage="1"/>
  </sheetPr>
  <dimension ref="A1:IP125"/>
  <sheetViews>
    <sheetView topLeftCell="A61" workbookViewId="0">
      <pane xSplit="5" ySplit="7" topLeftCell="F68" activePane="bottomRight" state="frozen"/>
      <selection activeCell="L109" sqref="L109"/>
      <selection pane="topRight" activeCell="L109" sqref="L109"/>
      <selection pane="bottomLeft" activeCell="L109" sqref="L109"/>
      <selection pane="bottomRight" activeCell="N77" sqref="N77"/>
    </sheetView>
  </sheetViews>
  <sheetFormatPr defaultRowHeight="12.75"/>
  <cols>
    <col min="1" max="2" width="1.85546875" style="119" customWidth="1"/>
    <col min="3" max="3" width="2.28515625" style="119" customWidth="1"/>
    <col min="4" max="4" width="1.7109375" style="119" customWidth="1"/>
    <col min="5" max="5" width="8.7109375" style="119" customWidth="1"/>
    <col min="6" max="17" width="9.140625" style="119" customWidth="1"/>
    <col min="18" max="18" width="2" style="119" customWidth="1"/>
    <col min="19" max="16384" width="9.140625" style="119"/>
  </cols>
  <sheetData>
    <row r="1" spans="1:19" hidden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21"/>
      <c r="S1" s="121"/>
    </row>
    <row r="2" spans="1:19" hidden="1">
      <c r="A2" s="195" t="s">
        <v>174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</row>
    <row r="3" spans="1:19" hidden="1">
      <c r="A3" s="196" t="s">
        <v>0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</row>
    <row r="4" spans="1:19" hidden="1">
      <c r="A4" s="125"/>
    </row>
    <row r="5" spans="1:19" hidden="1">
      <c r="A5" s="125"/>
      <c r="I5" s="121"/>
    </row>
    <row r="6" spans="1:19" ht="16.5" hidden="1" customHeight="1">
      <c r="A6" s="197" t="s">
        <v>1</v>
      </c>
      <c r="B6" s="198"/>
      <c r="C6" s="198"/>
      <c r="D6" s="198"/>
      <c r="E6" s="198"/>
      <c r="F6" s="139" t="s">
        <v>5</v>
      </c>
      <c r="G6" s="139" t="s">
        <v>23</v>
      </c>
      <c r="H6" s="139" t="s">
        <v>24</v>
      </c>
      <c r="I6" s="139" t="s">
        <v>26</v>
      </c>
      <c r="J6" s="139" t="s">
        <v>27</v>
      </c>
      <c r="K6" s="139" t="s">
        <v>34</v>
      </c>
      <c r="L6" s="139" t="s">
        <v>28</v>
      </c>
      <c r="M6" s="139" t="s">
        <v>29</v>
      </c>
      <c r="N6" s="139" t="s">
        <v>30</v>
      </c>
      <c r="O6" s="139" t="s">
        <v>31</v>
      </c>
      <c r="P6" s="139" t="s">
        <v>32</v>
      </c>
      <c r="Q6" s="139" t="s">
        <v>32</v>
      </c>
    </row>
    <row r="7" spans="1:19" ht="16.5" hidden="1" customHeight="1">
      <c r="A7" s="140"/>
      <c r="B7" s="140"/>
      <c r="C7" s="140"/>
      <c r="D7" s="140"/>
      <c r="E7" s="140"/>
      <c r="F7" s="141"/>
    </row>
    <row r="8" spans="1:19" ht="14.25" hidden="1" customHeight="1">
      <c r="A8" s="118" t="s">
        <v>6</v>
      </c>
      <c r="B8" s="118"/>
      <c r="C8" s="118"/>
      <c r="D8" s="118"/>
      <c r="E8" s="118"/>
      <c r="F8" s="122">
        <f>+F10+F15</f>
        <v>3620441</v>
      </c>
      <c r="G8" s="122">
        <f t="shared" ref="G8:Q8" si="0">+G10+G15</f>
        <v>3448346</v>
      </c>
      <c r="H8" s="122">
        <f t="shared" si="0"/>
        <v>3406134</v>
      </c>
      <c r="I8" s="122">
        <f t="shared" si="0"/>
        <v>3438919</v>
      </c>
      <c r="J8" s="122">
        <f t="shared" si="0"/>
        <v>3461357</v>
      </c>
      <c r="K8" s="122">
        <f>+K10+K15+1</f>
        <v>3501791</v>
      </c>
      <c r="L8" s="122">
        <f t="shared" si="0"/>
        <v>3499788</v>
      </c>
      <c r="M8" s="122">
        <f t="shared" si="0"/>
        <v>3647850</v>
      </c>
      <c r="N8" s="122">
        <f t="shared" si="0"/>
        <v>3677568</v>
      </c>
      <c r="O8" s="122">
        <f t="shared" si="0"/>
        <v>3727189</v>
      </c>
      <c r="P8" s="122">
        <f>+P10+P15</f>
        <v>3744754</v>
      </c>
      <c r="Q8" s="122">
        <f t="shared" si="0"/>
        <v>3744754</v>
      </c>
    </row>
    <row r="9" spans="1:19" hidden="1">
      <c r="A9" s="118"/>
      <c r="B9" s="118"/>
      <c r="C9" s="118"/>
      <c r="D9" s="118"/>
      <c r="E9" s="118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</row>
    <row r="10" spans="1:19" hidden="1">
      <c r="B10" s="119" t="s">
        <v>9</v>
      </c>
      <c r="F10" s="124">
        <f>+F11+F12+F13</f>
        <v>3619999</v>
      </c>
      <c r="G10" s="124">
        <f t="shared" ref="G10:Q10" si="1">+G11+G12+G13</f>
        <v>3446052</v>
      </c>
      <c r="H10" s="124">
        <f t="shared" si="1"/>
        <v>3403840</v>
      </c>
      <c r="I10" s="124">
        <f t="shared" si="1"/>
        <v>3436625</v>
      </c>
      <c r="J10" s="124">
        <f t="shared" si="1"/>
        <v>3459063</v>
      </c>
      <c r="K10" s="124">
        <f t="shared" si="1"/>
        <v>3501348</v>
      </c>
      <c r="L10" s="124">
        <f t="shared" si="1"/>
        <v>3499346</v>
      </c>
      <c r="M10" s="124">
        <f t="shared" si="1"/>
        <v>3647408</v>
      </c>
      <c r="N10" s="124">
        <f t="shared" si="1"/>
        <v>3677126</v>
      </c>
      <c r="O10" s="124">
        <f t="shared" si="1"/>
        <v>3726747</v>
      </c>
      <c r="P10" s="124">
        <f>+P11+P12+P13</f>
        <v>3744312</v>
      </c>
      <c r="Q10" s="124">
        <f t="shared" si="1"/>
        <v>3744312</v>
      </c>
      <c r="R10" s="123"/>
    </row>
    <row r="11" spans="1:19" ht="15" hidden="1" customHeight="1">
      <c r="C11" s="119" t="s">
        <v>169</v>
      </c>
      <c r="F11" s="123">
        <v>3619843</v>
      </c>
      <c r="G11" s="123">
        <v>3445896</v>
      </c>
      <c r="H11" s="123">
        <v>3403684</v>
      </c>
      <c r="I11" s="123">
        <v>3436469</v>
      </c>
      <c r="J11" s="123">
        <v>3458907</v>
      </c>
      <c r="K11" s="123">
        <v>3501192</v>
      </c>
      <c r="L11" s="123">
        <v>3499190</v>
      </c>
      <c r="M11" s="123">
        <v>3647252</v>
      </c>
      <c r="N11" s="123">
        <v>3676970</v>
      </c>
      <c r="O11" s="123">
        <v>3726591</v>
      </c>
      <c r="P11" s="123">
        <v>3744156</v>
      </c>
      <c r="Q11" s="123">
        <v>3744156</v>
      </c>
    </row>
    <row r="12" spans="1:19" hidden="1">
      <c r="C12" s="119" t="s">
        <v>2</v>
      </c>
      <c r="F12" s="123">
        <v>156</v>
      </c>
      <c r="G12" s="123">
        <v>156</v>
      </c>
      <c r="H12" s="123">
        <v>156</v>
      </c>
      <c r="I12" s="123">
        <v>156</v>
      </c>
      <c r="J12" s="123">
        <v>156</v>
      </c>
      <c r="K12" s="123">
        <v>156</v>
      </c>
      <c r="L12" s="123">
        <v>156</v>
      </c>
      <c r="M12" s="123">
        <v>156</v>
      </c>
      <c r="N12" s="123">
        <v>156</v>
      </c>
      <c r="O12" s="123">
        <v>156</v>
      </c>
      <c r="P12" s="123">
        <v>156</v>
      </c>
      <c r="Q12" s="123">
        <v>156</v>
      </c>
    </row>
    <row r="13" spans="1:19" hidden="1">
      <c r="C13" s="119" t="s">
        <v>3</v>
      </c>
      <c r="F13" s="123">
        <v>0</v>
      </c>
      <c r="G13" s="123">
        <v>0</v>
      </c>
      <c r="H13" s="123">
        <v>0</v>
      </c>
      <c r="I13" s="123">
        <v>0</v>
      </c>
      <c r="J13" s="123">
        <v>0</v>
      </c>
      <c r="K13" s="123">
        <v>0</v>
      </c>
      <c r="L13" s="123">
        <v>0</v>
      </c>
      <c r="M13" s="123">
        <v>0</v>
      </c>
      <c r="N13" s="123">
        <v>0</v>
      </c>
      <c r="O13" s="123">
        <v>0</v>
      </c>
      <c r="P13" s="123">
        <v>0</v>
      </c>
      <c r="Q13" s="123">
        <v>0</v>
      </c>
    </row>
    <row r="14" spans="1:19" ht="8.25" hidden="1" customHeight="1"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</row>
    <row r="15" spans="1:19" hidden="1">
      <c r="B15" s="119" t="s">
        <v>4</v>
      </c>
      <c r="F15" s="124">
        <f>SUM(F16:F19)</f>
        <v>442</v>
      </c>
      <c r="G15" s="124">
        <f t="shared" ref="G15:Q15" si="2">SUM(G16:G19)</f>
        <v>2294</v>
      </c>
      <c r="H15" s="124">
        <f t="shared" si="2"/>
        <v>2294</v>
      </c>
      <c r="I15" s="124">
        <f t="shared" si="2"/>
        <v>2294</v>
      </c>
      <c r="J15" s="124">
        <f t="shared" si="2"/>
        <v>2294</v>
      </c>
      <c r="K15" s="124">
        <f t="shared" si="2"/>
        <v>442</v>
      </c>
      <c r="L15" s="124">
        <f t="shared" si="2"/>
        <v>442</v>
      </c>
      <c r="M15" s="124">
        <f t="shared" si="2"/>
        <v>442</v>
      </c>
      <c r="N15" s="124">
        <f t="shared" si="2"/>
        <v>442</v>
      </c>
      <c r="O15" s="124">
        <f t="shared" si="2"/>
        <v>442</v>
      </c>
      <c r="P15" s="124">
        <f>SUM(P16:P19)</f>
        <v>442</v>
      </c>
      <c r="Q15" s="124">
        <f t="shared" si="2"/>
        <v>442</v>
      </c>
    </row>
    <row r="16" spans="1:19" hidden="1">
      <c r="C16" s="119" t="s">
        <v>12</v>
      </c>
      <c r="F16" s="123">
        <v>0</v>
      </c>
      <c r="G16" s="123">
        <v>0</v>
      </c>
      <c r="H16" s="123">
        <v>0</v>
      </c>
      <c r="I16" s="123">
        <v>0</v>
      </c>
      <c r="J16" s="123">
        <v>0</v>
      </c>
      <c r="K16" s="123">
        <v>0</v>
      </c>
      <c r="L16" s="123">
        <v>0</v>
      </c>
      <c r="M16" s="123">
        <v>0</v>
      </c>
      <c r="N16" s="123">
        <v>0</v>
      </c>
      <c r="O16" s="123">
        <v>0</v>
      </c>
      <c r="P16" s="123">
        <v>0</v>
      </c>
      <c r="Q16" s="123">
        <v>0</v>
      </c>
    </row>
    <row r="17" spans="1:17" hidden="1">
      <c r="C17" s="119" t="s">
        <v>13</v>
      </c>
      <c r="F17" s="123">
        <v>442</v>
      </c>
      <c r="G17" s="123">
        <v>2288</v>
      </c>
      <c r="H17" s="123">
        <v>2288</v>
      </c>
      <c r="I17" s="123">
        <v>2288</v>
      </c>
      <c r="J17" s="123">
        <v>2288</v>
      </c>
      <c r="K17" s="123">
        <v>442</v>
      </c>
      <c r="L17" s="123">
        <v>442</v>
      </c>
      <c r="M17" s="123">
        <v>442</v>
      </c>
      <c r="N17" s="123">
        <v>442</v>
      </c>
      <c r="O17" s="123">
        <v>442</v>
      </c>
      <c r="P17" s="123">
        <v>442</v>
      </c>
      <c r="Q17" s="123">
        <v>442</v>
      </c>
    </row>
    <row r="18" spans="1:17" hidden="1">
      <c r="C18" s="119" t="s">
        <v>14</v>
      </c>
      <c r="F18" s="123">
        <v>0</v>
      </c>
      <c r="G18" s="123">
        <v>0</v>
      </c>
      <c r="H18" s="123">
        <v>0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</row>
    <row r="19" spans="1:17" hidden="1">
      <c r="C19" s="119" t="s">
        <v>15</v>
      </c>
      <c r="F19" s="123">
        <v>0</v>
      </c>
      <c r="G19" s="123">
        <v>6</v>
      </c>
      <c r="H19" s="123">
        <v>6</v>
      </c>
      <c r="I19" s="123">
        <v>6</v>
      </c>
      <c r="J19" s="123">
        <v>6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</row>
    <row r="20" spans="1:17" hidden="1"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</row>
    <row r="21" spans="1:17" ht="15" hidden="1" customHeight="1">
      <c r="A21" s="118" t="s">
        <v>170</v>
      </c>
      <c r="B21" s="118"/>
      <c r="C21" s="118"/>
      <c r="D21" s="118"/>
      <c r="E21" s="118"/>
      <c r="F21" s="122">
        <f>+F22+F26+F33</f>
        <v>1973306</v>
      </c>
      <c r="G21" s="122">
        <f t="shared" ref="G21:Q21" si="3">+G22+G26+G33</f>
        <v>1876939</v>
      </c>
      <c r="H21" s="122">
        <f t="shared" si="3"/>
        <v>1875346</v>
      </c>
      <c r="I21" s="122">
        <f t="shared" si="3"/>
        <v>1869869</v>
      </c>
      <c r="J21" s="122">
        <f t="shared" si="3"/>
        <v>1902704</v>
      </c>
      <c r="K21" s="122">
        <f t="shared" si="3"/>
        <v>1949537</v>
      </c>
      <c r="L21" s="122">
        <f t="shared" si="3"/>
        <v>1960980</v>
      </c>
      <c r="M21" s="122">
        <f t="shared" si="3"/>
        <v>1994676</v>
      </c>
      <c r="N21" s="122">
        <f t="shared" si="3"/>
        <v>1932097</v>
      </c>
      <c r="O21" s="122">
        <f t="shared" si="3"/>
        <v>1921369</v>
      </c>
      <c r="P21" s="122">
        <f>+P22+P26+P33</f>
        <v>1930494</v>
      </c>
      <c r="Q21" s="122">
        <f t="shared" si="3"/>
        <v>1930494</v>
      </c>
    </row>
    <row r="22" spans="1:17" ht="15.75" hidden="1" customHeight="1">
      <c r="B22" s="119" t="s">
        <v>10</v>
      </c>
      <c r="F22" s="124">
        <f>+F23+F24</f>
        <v>719517</v>
      </c>
      <c r="G22" s="124">
        <f t="shared" ref="G22:Q22" si="4">+G23+G24</f>
        <v>719225</v>
      </c>
      <c r="H22" s="124">
        <f t="shared" si="4"/>
        <v>710445</v>
      </c>
      <c r="I22" s="124">
        <f t="shared" si="4"/>
        <v>703401</v>
      </c>
      <c r="J22" s="124">
        <f t="shared" si="4"/>
        <v>708647</v>
      </c>
      <c r="K22" s="124">
        <f t="shared" si="4"/>
        <v>725483</v>
      </c>
      <c r="L22" s="124">
        <f t="shared" si="4"/>
        <v>737586</v>
      </c>
      <c r="M22" s="124">
        <f t="shared" si="4"/>
        <v>737427</v>
      </c>
      <c r="N22" s="124">
        <f t="shared" si="4"/>
        <v>709508</v>
      </c>
      <c r="O22" s="124">
        <f t="shared" si="4"/>
        <v>704747</v>
      </c>
      <c r="P22" s="124">
        <f>+P23+P24</f>
        <v>699400</v>
      </c>
      <c r="Q22" s="124">
        <f t="shared" si="4"/>
        <v>699400</v>
      </c>
    </row>
    <row r="23" spans="1:17" hidden="1">
      <c r="C23" s="119" t="s">
        <v>2</v>
      </c>
      <c r="F23" s="123">
        <v>679732</v>
      </c>
      <c r="G23" s="123">
        <v>673568</v>
      </c>
      <c r="H23" s="123">
        <v>665820</v>
      </c>
      <c r="I23" s="123">
        <v>660088</v>
      </c>
      <c r="J23" s="123">
        <v>665303</v>
      </c>
      <c r="K23" s="123">
        <v>680350</v>
      </c>
      <c r="L23" s="123">
        <v>694444</v>
      </c>
      <c r="M23" s="123">
        <v>693419</v>
      </c>
      <c r="N23" s="123">
        <v>667274</v>
      </c>
      <c r="O23" s="123">
        <v>663061</v>
      </c>
      <c r="P23" s="123">
        <v>658485</v>
      </c>
      <c r="Q23" s="123">
        <v>658485</v>
      </c>
    </row>
    <row r="24" spans="1:17" hidden="1">
      <c r="C24" s="119" t="s">
        <v>3</v>
      </c>
      <c r="F24" s="123">
        <v>39785</v>
      </c>
      <c r="G24" s="123">
        <v>45657</v>
      </c>
      <c r="H24" s="123">
        <v>44625</v>
      </c>
      <c r="I24" s="123">
        <v>43313</v>
      </c>
      <c r="J24" s="123">
        <v>43344</v>
      </c>
      <c r="K24" s="123">
        <v>45133</v>
      </c>
      <c r="L24" s="123">
        <v>43142</v>
      </c>
      <c r="M24" s="123">
        <v>44008</v>
      </c>
      <c r="N24" s="123">
        <v>42234</v>
      </c>
      <c r="O24" s="123">
        <v>41686</v>
      </c>
      <c r="P24" s="123">
        <v>40915</v>
      </c>
      <c r="Q24" s="123">
        <v>40915</v>
      </c>
    </row>
    <row r="25" spans="1:17" ht="9" hidden="1" customHeight="1"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  <row r="26" spans="1:17" hidden="1">
      <c r="B26" s="119" t="s">
        <v>4</v>
      </c>
      <c r="F26" s="124">
        <f>SUM(F27:F31)</f>
        <v>0</v>
      </c>
      <c r="G26" s="124">
        <f t="shared" ref="G26:Q26" si="5">SUM(G27:G31)</f>
        <v>2</v>
      </c>
      <c r="H26" s="124">
        <f t="shared" si="5"/>
        <v>2</v>
      </c>
      <c r="I26" s="124">
        <f t="shared" si="5"/>
        <v>2</v>
      </c>
      <c r="J26" s="124">
        <f t="shared" si="5"/>
        <v>2</v>
      </c>
      <c r="K26" s="124">
        <f t="shared" si="5"/>
        <v>2</v>
      </c>
      <c r="L26" s="124">
        <f t="shared" si="5"/>
        <v>2</v>
      </c>
      <c r="M26" s="124">
        <f t="shared" si="5"/>
        <v>2</v>
      </c>
      <c r="N26" s="124">
        <f t="shared" si="5"/>
        <v>2</v>
      </c>
      <c r="O26" s="124">
        <f t="shared" si="5"/>
        <v>2</v>
      </c>
      <c r="P26" s="124">
        <f>SUM(P27:P31)</f>
        <v>2</v>
      </c>
      <c r="Q26" s="124">
        <f t="shared" si="5"/>
        <v>2</v>
      </c>
    </row>
    <row r="27" spans="1:17" hidden="1">
      <c r="D27" s="119" t="s">
        <v>12</v>
      </c>
      <c r="F27" s="123">
        <v>0</v>
      </c>
      <c r="G27" s="123">
        <v>0</v>
      </c>
      <c r="H27" s="123">
        <v>0</v>
      </c>
      <c r="I27" s="123">
        <v>0</v>
      </c>
      <c r="J27" s="123">
        <v>0</v>
      </c>
      <c r="K27" s="123">
        <v>0</v>
      </c>
      <c r="L27" s="123">
        <v>0</v>
      </c>
      <c r="M27" s="123">
        <v>0</v>
      </c>
      <c r="N27" s="123">
        <v>0</v>
      </c>
      <c r="O27" s="123">
        <v>0</v>
      </c>
      <c r="P27" s="123">
        <v>0</v>
      </c>
      <c r="Q27" s="123">
        <v>0</v>
      </c>
    </row>
    <row r="28" spans="1:17" hidden="1">
      <c r="D28" s="119" t="s">
        <v>13</v>
      </c>
      <c r="F28" s="123">
        <v>0</v>
      </c>
      <c r="G28" s="123">
        <v>0</v>
      </c>
      <c r="H28" s="123">
        <v>0</v>
      </c>
      <c r="I28" s="123">
        <v>0</v>
      </c>
      <c r="J28" s="123">
        <v>0</v>
      </c>
      <c r="K28" s="123">
        <v>0</v>
      </c>
      <c r="L28" s="123">
        <v>0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</row>
    <row r="29" spans="1:17" hidden="1">
      <c r="D29" s="119" t="s">
        <v>14</v>
      </c>
      <c r="F29" s="123">
        <v>0</v>
      </c>
      <c r="G29" s="123">
        <v>0</v>
      </c>
      <c r="H29" s="123">
        <v>0</v>
      </c>
      <c r="I29" s="123">
        <v>0</v>
      </c>
      <c r="J29" s="123">
        <v>0</v>
      </c>
      <c r="K29" s="123">
        <v>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</row>
    <row r="30" spans="1:17" hidden="1">
      <c r="D30" s="119" t="s">
        <v>15</v>
      </c>
      <c r="F30" s="123">
        <v>0</v>
      </c>
      <c r="G30" s="123">
        <v>2</v>
      </c>
      <c r="H30" s="123">
        <v>2</v>
      </c>
      <c r="I30" s="123">
        <v>2</v>
      </c>
      <c r="J30" s="123">
        <v>2</v>
      </c>
      <c r="K30" s="123">
        <v>2</v>
      </c>
      <c r="L30" s="123">
        <v>2</v>
      </c>
      <c r="M30" s="123">
        <v>2</v>
      </c>
      <c r="N30" s="123">
        <v>2</v>
      </c>
      <c r="O30" s="123">
        <v>2</v>
      </c>
      <c r="P30" s="123">
        <v>2</v>
      </c>
      <c r="Q30" s="123">
        <v>2</v>
      </c>
    </row>
    <row r="31" spans="1:17" hidden="1">
      <c r="D31" s="119" t="s">
        <v>16</v>
      </c>
      <c r="F31" s="123">
        <v>0</v>
      </c>
      <c r="G31" s="123">
        <v>0</v>
      </c>
      <c r="H31" s="123">
        <v>0</v>
      </c>
      <c r="I31" s="123">
        <v>0</v>
      </c>
      <c r="J31" s="123">
        <v>0</v>
      </c>
      <c r="K31" s="123">
        <v>0</v>
      </c>
      <c r="L31" s="123">
        <v>0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</row>
    <row r="32" spans="1:17" ht="11.25" hidden="1" customHeight="1"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</row>
    <row r="33" spans="1:250" hidden="1">
      <c r="B33" s="119" t="s">
        <v>173</v>
      </c>
      <c r="F33" s="123">
        <v>1253789</v>
      </c>
      <c r="G33" s="123">
        <v>1157712</v>
      </c>
      <c r="H33" s="123">
        <v>1164899</v>
      </c>
      <c r="I33" s="123">
        <v>1166466</v>
      </c>
      <c r="J33" s="123">
        <v>1194055</v>
      </c>
      <c r="K33" s="123">
        <v>1224052</v>
      </c>
      <c r="L33" s="123">
        <v>1223392</v>
      </c>
      <c r="M33" s="123">
        <v>1257247</v>
      </c>
      <c r="N33" s="123">
        <v>1222587</v>
      </c>
      <c r="O33" s="123">
        <v>1216620</v>
      </c>
      <c r="P33" s="123">
        <v>1231092</v>
      </c>
      <c r="Q33" s="123">
        <v>1231092</v>
      </c>
    </row>
    <row r="34" spans="1:250" hidden="1">
      <c r="IP34" s="119">
        <v>0</v>
      </c>
    </row>
    <row r="35" spans="1:250" hidden="1"/>
    <row r="36" spans="1:250" hidden="1">
      <c r="C36" s="118" t="s">
        <v>7</v>
      </c>
      <c r="D36" s="118"/>
      <c r="E36" s="118"/>
      <c r="F36" s="142">
        <f>+F8+F21+1</f>
        <v>5593748</v>
      </c>
      <c r="G36" s="142">
        <f t="shared" ref="G36:Q36" si="6">+G8+G21</f>
        <v>5325285</v>
      </c>
      <c r="H36" s="142">
        <f t="shared" si="6"/>
        <v>5281480</v>
      </c>
      <c r="I36" s="142">
        <f t="shared" si="6"/>
        <v>5308788</v>
      </c>
      <c r="J36" s="142">
        <f t="shared" si="6"/>
        <v>5364061</v>
      </c>
      <c r="K36" s="142">
        <f t="shared" si="6"/>
        <v>5451328</v>
      </c>
      <c r="L36" s="142">
        <f t="shared" si="6"/>
        <v>5460768</v>
      </c>
      <c r="M36" s="142">
        <f t="shared" si="6"/>
        <v>5642526</v>
      </c>
      <c r="N36" s="142">
        <f t="shared" si="6"/>
        <v>5609665</v>
      </c>
      <c r="O36" s="142">
        <f t="shared" si="6"/>
        <v>5648558</v>
      </c>
      <c r="P36" s="142">
        <f>+P8+P21</f>
        <v>5675248</v>
      </c>
      <c r="Q36" s="142">
        <f t="shared" si="6"/>
        <v>5675248</v>
      </c>
    </row>
    <row r="37" spans="1:250" hidden="1">
      <c r="A37" s="135"/>
      <c r="B37" s="120"/>
      <c r="C37" s="120"/>
      <c r="D37" s="120"/>
    </row>
    <row r="38" spans="1:250" hidden="1">
      <c r="A38" s="119" t="s">
        <v>11</v>
      </c>
    </row>
    <row r="39" spans="1:250" hidden="1">
      <c r="A39" s="118"/>
    </row>
    <row r="40" spans="1:250" s="108" customFormat="1" hidden="1">
      <c r="A40" s="143" t="s">
        <v>8</v>
      </c>
      <c r="B40" s="143"/>
      <c r="C40" s="143"/>
      <c r="D40" s="143"/>
      <c r="E40" s="143"/>
      <c r="F40" s="144">
        <v>45.2</v>
      </c>
      <c r="G40" s="144">
        <v>40.700000000000003</v>
      </c>
      <c r="H40" s="144">
        <v>41.05</v>
      </c>
      <c r="I40" s="144">
        <v>41.15</v>
      </c>
      <c r="J40" s="144">
        <v>42.3</v>
      </c>
      <c r="K40" s="144">
        <v>43.45</v>
      </c>
      <c r="L40" s="144">
        <v>43.4</v>
      </c>
      <c r="M40" s="144">
        <v>44.75</v>
      </c>
      <c r="N40" s="144">
        <v>43.35</v>
      </c>
      <c r="O40" s="144">
        <v>43.1</v>
      </c>
      <c r="P40" s="144">
        <v>43.75</v>
      </c>
      <c r="Q40" s="144">
        <v>43.75</v>
      </c>
    </row>
    <row r="41" spans="1:250" s="108" customFormat="1" hidden="1">
      <c r="A41" s="143"/>
      <c r="B41" s="143"/>
      <c r="C41" s="143"/>
      <c r="D41" s="143"/>
      <c r="E41" s="143"/>
    </row>
    <row r="42" spans="1:250" s="108" customFormat="1" hidden="1">
      <c r="A42" s="143"/>
      <c r="B42" s="143"/>
      <c r="C42" s="143"/>
      <c r="D42" s="143"/>
      <c r="E42" s="143"/>
    </row>
    <row r="43" spans="1:250" hidden="1">
      <c r="A43" s="108" t="s">
        <v>22</v>
      </c>
    </row>
    <row r="44" spans="1:250" hidden="1">
      <c r="A44" s="108"/>
    </row>
    <row r="45" spans="1:250" hidden="1">
      <c r="A45" s="145"/>
      <c r="E45" s="108"/>
    </row>
    <row r="46" spans="1:250" hidden="1">
      <c r="A46" s="146"/>
      <c r="E46" s="108"/>
    </row>
    <row r="47" spans="1:250" hidden="1">
      <c r="A47" s="146"/>
      <c r="E47" s="108"/>
    </row>
    <row r="48" spans="1:250" hidden="1">
      <c r="A48" s="146"/>
      <c r="E48" s="108"/>
    </row>
    <row r="49" spans="1:17" hidden="1">
      <c r="A49" s="146"/>
      <c r="E49" s="108"/>
    </row>
    <row r="50" spans="1:17" hidden="1">
      <c r="A50" s="146"/>
      <c r="E50" s="108"/>
    </row>
    <row r="51" spans="1:17" hidden="1">
      <c r="A51" s="146"/>
      <c r="E51" s="108"/>
    </row>
    <row r="52" spans="1:17" hidden="1">
      <c r="A52" s="146"/>
      <c r="E52" s="108"/>
    </row>
    <row r="53" spans="1:17" hidden="1">
      <c r="A53" s="146"/>
      <c r="E53" s="108"/>
    </row>
    <row r="54" spans="1:17" hidden="1">
      <c r="A54" s="146"/>
      <c r="E54" s="108"/>
    </row>
    <row r="55" spans="1:17" hidden="1">
      <c r="A55" s="146"/>
      <c r="E55" s="108"/>
    </row>
    <row r="56" spans="1:17" hidden="1">
      <c r="A56" s="146"/>
      <c r="E56" s="108"/>
    </row>
    <row r="57" spans="1:17" hidden="1">
      <c r="A57" s="146"/>
      <c r="E57" s="108"/>
    </row>
    <row r="58" spans="1:17" hidden="1">
      <c r="A58" s="146"/>
      <c r="E58" s="108"/>
    </row>
    <row r="59" spans="1:17" hidden="1">
      <c r="A59" s="146"/>
      <c r="E59" s="108"/>
    </row>
    <row r="60" spans="1:17" hidden="1">
      <c r="A60" s="146"/>
      <c r="E60" s="108"/>
    </row>
    <row r="61" spans="1:17">
      <c r="A61" s="150" t="s">
        <v>138</v>
      </c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</row>
    <row r="62" spans="1:17">
      <c r="A62" s="150" t="str">
        <f>'[7]2015'!A2</f>
        <v>As of December 2015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</row>
    <row r="63" spans="1:17">
      <c r="A63" s="117" t="s">
        <v>0</v>
      </c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51"/>
      <c r="N63" s="117"/>
      <c r="O63" s="117"/>
      <c r="P63" s="117"/>
      <c r="Q63" s="117"/>
    </row>
    <row r="64" spans="1:17" ht="12" customHeight="1">
      <c r="A64" s="134"/>
      <c r="B64" s="134"/>
      <c r="C64" s="134"/>
      <c r="D64" s="134"/>
      <c r="E64" s="134"/>
      <c r="F64" s="134"/>
    </row>
    <row r="65" spans="1:19" ht="21.75" customHeight="1">
      <c r="A65" s="199" t="s">
        <v>1</v>
      </c>
      <c r="B65" s="199"/>
      <c r="C65" s="199"/>
      <c r="D65" s="199"/>
      <c r="E65" s="199"/>
      <c r="F65" s="174" t="s">
        <v>5</v>
      </c>
      <c r="G65" s="174" t="s">
        <v>23</v>
      </c>
      <c r="H65" s="174" t="s">
        <v>24</v>
      </c>
      <c r="I65" s="174" t="s">
        <v>26</v>
      </c>
      <c r="J65" s="174" t="s">
        <v>27</v>
      </c>
      <c r="K65" s="174" t="s">
        <v>36</v>
      </c>
      <c r="L65" s="174" t="s">
        <v>28</v>
      </c>
      <c r="M65" s="174" t="s">
        <v>29</v>
      </c>
      <c r="N65" s="174" t="s">
        <v>30</v>
      </c>
      <c r="O65" s="174" t="s">
        <v>31</v>
      </c>
      <c r="P65" s="174" t="s">
        <v>32</v>
      </c>
      <c r="Q65" s="174" t="s">
        <v>33</v>
      </c>
      <c r="R65" s="140"/>
      <c r="S65" s="140"/>
    </row>
    <row r="66" spans="1:19" ht="9" customHeight="1"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</row>
    <row r="67" spans="1:19">
      <c r="A67" s="118" t="s">
        <v>17</v>
      </c>
      <c r="B67" s="118"/>
      <c r="C67" s="118"/>
      <c r="D67" s="118"/>
      <c r="E67" s="118"/>
      <c r="F67" s="122">
        <f>+F69+F76</f>
        <v>527188</v>
      </c>
      <c r="G67" s="122">
        <f t="shared" ref="G67:Q67" si="7">+G69+G76</f>
        <v>523501</v>
      </c>
      <c r="H67" s="122">
        <f t="shared" si="7"/>
        <v>525417</v>
      </c>
      <c r="I67" s="122">
        <f t="shared" si="7"/>
        <v>511254</v>
      </c>
      <c r="J67" s="122">
        <f t="shared" si="7"/>
        <v>508614</v>
      </c>
      <c r="K67" s="122">
        <f t="shared" si="7"/>
        <v>511073</v>
      </c>
      <c r="L67" s="122">
        <f t="shared" si="7"/>
        <v>511458</v>
      </c>
      <c r="M67" s="122">
        <f t="shared" si="7"/>
        <v>553007</v>
      </c>
      <c r="N67" s="122">
        <f t="shared" si="7"/>
        <v>552918</v>
      </c>
      <c r="O67" s="122">
        <f t="shared" si="7"/>
        <v>546632</v>
      </c>
      <c r="P67" s="122">
        <f>+P69+P76</f>
        <v>547629</v>
      </c>
      <c r="Q67" s="122">
        <f t="shared" si="7"/>
        <v>545092</v>
      </c>
      <c r="R67" s="122"/>
      <c r="S67" s="122"/>
    </row>
    <row r="68" spans="1:19">
      <c r="A68" s="118"/>
      <c r="B68" s="118"/>
      <c r="C68" s="118"/>
      <c r="D68" s="118"/>
      <c r="E68" s="118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</row>
    <row r="69" spans="1:19">
      <c r="A69" s="118"/>
      <c r="B69" s="118" t="s">
        <v>18</v>
      </c>
      <c r="C69" s="118"/>
      <c r="D69" s="118"/>
      <c r="E69" s="118"/>
      <c r="F69" s="122">
        <f>+F71+F72</f>
        <v>227983</v>
      </c>
      <c r="G69" s="122">
        <f t="shared" ref="G69:Q69" si="8">+G71+G72</f>
        <v>227719</v>
      </c>
      <c r="H69" s="122">
        <f t="shared" si="8"/>
        <v>227154</v>
      </c>
      <c r="I69" s="122">
        <f t="shared" si="8"/>
        <v>215487</v>
      </c>
      <c r="J69" s="122">
        <f t="shared" si="8"/>
        <v>215457</v>
      </c>
      <c r="K69" s="122">
        <f t="shared" si="8"/>
        <v>215100</v>
      </c>
      <c r="L69" s="122">
        <f t="shared" si="8"/>
        <v>214699</v>
      </c>
      <c r="M69" s="122">
        <f t="shared" si="8"/>
        <v>245799</v>
      </c>
      <c r="N69" s="122">
        <f t="shared" si="8"/>
        <v>245500</v>
      </c>
      <c r="O69" s="122">
        <f t="shared" si="8"/>
        <v>243418</v>
      </c>
      <c r="P69" s="122">
        <f>+P71+P72</f>
        <v>244738</v>
      </c>
      <c r="Q69" s="122">
        <f t="shared" si="8"/>
        <v>245572</v>
      </c>
      <c r="R69" s="122"/>
      <c r="S69" s="122"/>
    </row>
    <row r="70" spans="1:19">
      <c r="A70" s="118"/>
      <c r="B70" s="118"/>
      <c r="C70" s="118"/>
      <c r="D70" s="118"/>
      <c r="E70" s="118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</row>
    <row r="71" spans="1:19" ht="18.75">
      <c r="C71" s="119" t="s">
        <v>167</v>
      </c>
      <c r="F71" s="123">
        <f>117933+109914</f>
        <v>227847</v>
      </c>
      <c r="G71" s="123">
        <f>117707+109876</f>
        <v>227583</v>
      </c>
      <c r="H71" s="123">
        <f>117308+109710</f>
        <v>227018</v>
      </c>
      <c r="I71" s="123">
        <f>105986+109365</f>
        <v>215351</v>
      </c>
      <c r="J71" s="123">
        <f>105986+109335</f>
        <v>215321</v>
      </c>
      <c r="K71" s="123">
        <f>105798+109166</f>
        <v>214964</v>
      </c>
      <c r="L71" s="123">
        <f>105748+108815</f>
        <v>214563</v>
      </c>
      <c r="M71" s="123">
        <f>105561+140102</f>
        <v>245663</v>
      </c>
      <c r="N71" s="123">
        <f>137646+107718</f>
        <v>245364</v>
      </c>
      <c r="O71" s="123">
        <f>137646-1745+107381</f>
        <v>243282</v>
      </c>
      <c r="P71" s="123">
        <f>137242+107360</f>
        <v>244602</v>
      </c>
      <c r="Q71" s="123">
        <f>138232+107204</f>
        <v>245436</v>
      </c>
      <c r="R71" s="159" t="s">
        <v>176</v>
      </c>
    </row>
    <row r="72" spans="1:19">
      <c r="C72" s="119" t="s">
        <v>19</v>
      </c>
      <c r="F72" s="124">
        <f>+F73+F74</f>
        <v>136</v>
      </c>
      <c r="G72" s="124">
        <f>+G73+G74</f>
        <v>136</v>
      </c>
      <c r="H72" s="124">
        <f>+H73+H74</f>
        <v>136</v>
      </c>
      <c r="I72" s="124">
        <f>+I73+I74</f>
        <v>136</v>
      </c>
      <c r="J72" s="124">
        <f>+J73+J74</f>
        <v>136</v>
      </c>
      <c r="K72" s="124">
        <v>136</v>
      </c>
      <c r="L72" s="124">
        <v>136</v>
      </c>
      <c r="M72" s="124">
        <v>136</v>
      </c>
      <c r="N72" s="124">
        <v>136</v>
      </c>
      <c r="O72" s="124">
        <v>136</v>
      </c>
      <c r="P72" s="124">
        <v>136</v>
      </c>
      <c r="Q72" s="124">
        <v>136</v>
      </c>
      <c r="R72" s="124"/>
      <c r="S72" s="124"/>
    </row>
    <row r="73" spans="1:19">
      <c r="D73" s="119" t="s">
        <v>20</v>
      </c>
      <c r="F73" s="123">
        <v>37</v>
      </c>
      <c r="G73" s="123">
        <v>37</v>
      </c>
      <c r="H73" s="123">
        <v>37</v>
      </c>
      <c r="I73" s="123">
        <v>37</v>
      </c>
      <c r="J73" s="123">
        <v>37</v>
      </c>
      <c r="K73" s="123">
        <v>37</v>
      </c>
      <c r="L73" s="123">
        <v>37</v>
      </c>
      <c r="M73" s="123">
        <v>37</v>
      </c>
      <c r="N73" s="123">
        <v>37</v>
      </c>
      <c r="O73" s="123">
        <v>37</v>
      </c>
      <c r="P73" s="123">
        <v>37</v>
      </c>
      <c r="Q73" s="123">
        <v>37</v>
      </c>
    </row>
    <row r="74" spans="1:19">
      <c r="D74" s="119" t="s">
        <v>15</v>
      </c>
      <c r="F74" s="123">
        <v>99</v>
      </c>
      <c r="G74" s="123">
        <v>99</v>
      </c>
      <c r="H74" s="123">
        <v>99</v>
      </c>
      <c r="I74" s="123">
        <v>99</v>
      </c>
      <c r="J74" s="123">
        <v>99</v>
      </c>
      <c r="K74" s="123">
        <v>99</v>
      </c>
      <c r="L74" s="123">
        <v>99</v>
      </c>
      <c r="M74" s="123">
        <v>99</v>
      </c>
      <c r="N74" s="123">
        <v>99</v>
      </c>
      <c r="O74" s="123">
        <v>99</v>
      </c>
      <c r="P74" s="123">
        <v>99</v>
      </c>
      <c r="Q74" s="123">
        <v>99</v>
      </c>
    </row>
    <row r="75" spans="1:19"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</row>
    <row r="76" spans="1:19">
      <c r="A76" s="118"/>
      <c r="B76" s="118" t="s">
        <v>168</v>
      </c>
      <c r="C76" s="118"/>
      <c r="D76" s="118"/>
      <c r="E76" s="118"/>
      <c r="F76" s="122">
        <f>+F78+F79</f>
        <v>299205</v>
      </c>
      <c r="G76" s="122">
        <f t="shared" ref="G76:Q76" si="9">+G78+G79</f>
        <v>295782</v>
      </c>
      <c r="H76" s="122">
        <f t="shared" si="9"/>
        <v>298263</v>
      </c>
      <c r="I76" s="122">
        <f t="shared" si="9"/>
        <v>295767</v>
      </c>
      <c r="J76" s="122">
        <f t="shared" si="9"/>
        <v>293157</v>
      </c>
      <c r="K76" s="122">
        <f t="shared" si="9"/>
        <v>295973</v>
      </c>
      <c r="L76" s="122">
        <f t="shared" si="9"/>
        <v>296759</v>
      </c>
      <c r="M76" s="122">
        <f t="shared" si="9"/>
        <v>307208</v>
      </c>
      <c r="N76" s="122">
        <f t="shared" si="9"/>
        <v>307418</v>
      </c>
      <c r="O76" s="122">
        <f t="shared" si="9"/>
        <v>303214</v>
      </c>
      <c r="P76" s="122">
        <f>+P78+P79</f>
        <v>302891</v>
      </c>
      <c r="Q76" s="122">
        <f t="shared" si="9"/>
        <v>299520</v>
      </c>
      <c r="R76" s="122"/>
      <c r="S76" s="122"/>
    </row>
    <row r="77" spans="1:19">
      <c r="A77" s="118"/>
      <c r="B77" s="118"/>
      <c r="C77" s="118"/>
      <c r="D77" s="118"/>
      <c r="E77" s="118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</row>
    <row r="78" spans="1:19">
      <c r="C78" s="119" t="s">
        <v>167</v>
      </c>
      <c r="F78" s="123">
        <v>295434</v>
      </c>
      <c r="G78" s="123">
        <v>292014</v>
      </c>
      <c r="H78" s="123">
        <v>294432</v>
      </c>
      <c r="I78" s="123">
        <v>291978</v>
      </c>
      <c r="J78" s="123">
        <v>289343</v>
      </c>
      <c r="K78" s="123">
        <v>292107</v>
      </c>
      <c r="L78" s="123">
        <v>292860</v>
      </c>
      <c r="M78" s="123">
        <v>303214</v>
      </c>
      <c r="N78" s="123">
        <v>303403</v>
      </c>
      <c r="O78" s="123">
        <v>299203</v>
      </c>
      <c r="P78" s="123">
        <v>298864</v>
      </c>
      <c r="Q78" s="123">
        <v>295489</v>
      </c>
    </row>
    <row r="79" spans="1:19">
      <c r="C79" s="119" t="s">
        <v>19</v>
      </c>
      <c r="F79" s="124">
        <f t="shared" ref="F79:Q79" si="10">SUM(F80:F83)</f>
        <v>3771</v>
      </c>
      <c r="G79" s="124">
        <f t="shared" si="10"/>
        <v>3768</v>
      </c>
      <c r="H79" s="124">
        <f t="shared" si="10"/>
        <v>3831</v>
      </c>
      <c r="I79" s="124">
        <f t="shared" si="10"/>
        <v>3789</v>
      </c>
      <c r="J79" s="124">
        <f t="shared" si="10"/>
        <v>3814</v>
      </c>
      <c r="K79" s="124">
        <f t="shared" si="10"/>
        <v>3866</v>
      </c>
      <c r="L79" s="124">
        <f t="shared" si="10"/>
        <v>3899</v>
      </c>
      <c r="M79" s="124">
        <f t="shared" si="10"/>
        <v>3994</v>
      </c>
      <c r="N79" s="124">
        <f t="shared" si="10"/>
        <v>4015</v>
      </c>
      <c r="O79" s="124">
        <f t="shared" si="10"/>
        <v>4011</v>
      </c>
      <c r="P79" s="124">
        <f>SUM(P80:P83)</f>
        <v>4027</v>
      </c>
      <c r="Q79" s="124">
        <f t="shared" si="10"/>
        <v>4031</v>
      </c>
      <c r="R79" s="124"/>
      <c r="S79" s="124"/>
    </row>
    <row r="80" spans="1:19">
      <c r="D80" s="119" t="s">
        <v>12</v>
      </c>
      <c r="F80" s="123">
        <v>3736</v>
      </c>
      <c r="G80" s="123">
        <v>3733</v>
      </c>
      <c r="H80" s="123">
        <v>3796</v>
      </c>
      <c r="I80" s="123">
        <v>3754</v>
      </c>
      <c r="J80" s="123">
        <v>3779</v>
      </c>
      <c r="K80" s="123">
        <v>3830</v>
      </c>
      <c r="L80" s="123">
        <v>3863</v>
      </c>
      <c r="M80" s="123">
        <v>3957</v>
      </c>
      <c r="N80" s="123">
        <v>3978</v>
      </c>
      <c r="O80" s="123">
        <v>3974</v>
      </c>
      <c r="P80" s="123">
        <v>3990</v>
      </c>
      <c r="Q80" s="123">
        <v>3994</v>
      </c>
    </row>
    <row r="81" spans="1:17">
      <c r="D81" s="119" t="s">
        <v>13</v>
      </c>
      <c r="F81" s="123">
        <v>0</v>
      </c>
      <c r="G81" s="123">
        <v>0</v>
      </c>
      <c r="H81" s="123">
        <v>0</v>
      </c>
      <c r="I81" s="123">
        <v>0</v>
      </c>
      <c r="J81" s="123">
        <v>0</v>
      </c>
      <c r="K81" s="123">
        <v>0</v>
      </c>
      <c r="L81" s="123">
        <v>0</v>
      </c>
      <c r="M81" s="123">
        <v>0</v>
      </c>
      <c r="N81" s="123">
        <v>0</v>
      </c>
      <c r="O81" s="123">
        <v>0</v>
      </c>
      <c r="P81" s="123">
        <v>0</v>
      </c>
      <c r="Q81" s="123">
        <v>0</v>
      </c>
    </row>
    <row r="82" spans="1:17">
      <c r="D82" s="119" t="s">
        <v>21</v>
      </c>
      <c r="F82" s="123">
        <v>35</v>
      </c>
      <c r="G82" s="123">
        <v>35</v>
      </c>
      <c r="H82" s="123">
        <v>35</v>
      </c>
      <c r="I82" s="123">
        <v>35</v>
      </c>
      <c r="J82" s="123">
        <v>35</v>
      </c>
      <c r="K82" s="123">
        <v>36</v>
      </c>
      <c r="L82" s="123">
        <v>36</v>
      </c>
      <c r="M82" s="123">
        <v>37</v>
      </c>
      <c r="N82" s="123">
        <v>37</v>
      </c>
      <c r="O82" s="123">
        <v>37</v>
      </c>
      <c r="P82" s="123">
        <v>37</v>
      </c>
      <c r="Q82" s="123">
        <v>37</v>
      </c>
    </row>
    <row r="83" spans="1:17">
      <c r="D83" s="119" t="s">
        <v>15</v>
      </c>
      <c r="F83" s="123">
        <v>0</v>
      </c>
      <c r="G83" s="123">
        <v>0</v>
      </c>
      <c r="H83" s="123">
        <v>0</v>
      </c>
      <c r="I83" s="123">
        <v>0</v>
      </c>
      <c r="J83" s="123">
        <v>0</v>
      </c>
      <c r="K83" s="123">
        <v>0</v>
      </c>
      <c r="L83" s="123">
        <v>0</v>
      </c>
      <c r="M83" s="123">
        <v>0</v>
      </c>
      <c r="N83" s="123">
        <v>0</v>
      </c>
      <c r="O83" s="123">
        <v>0</v>
      </c>
      <c r="P83" s="123">
        <v>0</v>
      </c>
      <c r="Q83" s="123">
        <v>0</v>
      </c>
    </row>
    <row r="84" spans="1:17">
      <c r="A84" s="135"/>
      <c r="B84" s="120"/>
      <c r="C84" s="120"/>
      <c r="D84" s="120"/>
    </row>
    <row r="85" spans="1:17">
      <c r="A85" s="119" t="s">
        <v>11</v>
      </c>
    </row>
    <row r="87" spans="1:17" hidden="1">
      <c r="A87" s="135"/>
      <c r="B87" s="120"/>
      <c r="C87" s="120"/>
      <c r="D87" s="120"/>
    </row>
    <row r="88" spans="1:17" hidden="1">
      <c r="A88" s="119" t="s">
        <v>11</v>
      </c>
    </row>
    <row r="89" spans="1:17" hidden="1"/>
    <row r="90" spans="1:17" hidden="1"/>
    <row r="91" spans="1:17" hidden="1"/>
    <row r="92" spans="1:17" hidden="1"/>
    <row r="93" spans="1:17" hidden="1"/>
    <row r="94" spans="1:17" hidden="1"/>
    <row r="95" spans="1:17" hidden="1"/>
    <row r="96" spans="1:17" hidden="1"/>
    <row r="97" spans="1:5" hidden="1"/>
    <row r="98" spans="1:5" hidden="1"/>
    <row r="99" spans="1:5" hidden="1"/>
    <row r="100" spans="1:5" hidden="1"/>
    <row r="101" spans="1:5">
      <c r="A101" s="119" t="s">
        <v>176</v>
      </c>
      <c r="B101" s="119" t="s">
        <v>180</v>
      </c>
    </row>
    <row r="106" spans="1:5">
      <c r="A106" s="98"/>
      <c r="B106" s="98"/>
      <c r="C106" s="98"/>
      <c r="D106" s="98"/>
      <c r="E106" s="98"/>
    </row>
    <row r="107" spans="1:5">
      <c r="A107" s="98"/>
      <c r="B107" s="98"/>
      <c r="C107" s="98"/>
      <c r="D107" s="98"/>
      <c r="E107" s="98"/>
    </row>
    <row r="108" spans="1:5">
      <c r="A108" s="98"/>
      <c r="B108" s="98"/>
      <c r="C108" s="98"/>
      <c r="D108" s="98"/>
      <c r="E108" s="98"/>
    </row>
    <row r="109" spans="1:5">
      <c r="A109" s="98"/>
      <c r="B109" s="98"/>
      <c r="C109" s="98"/>
      <c r="D109" s="98"/>
      <c r="E109" s="98"/>
    </row>
    <row r="110" spans="1:5">
      <c r="A110" s="98"/>
      <c r="B110" s="98"/>
      <c r="C110" s="98"/>
      <c r="D110" s="98"/>
      <c r="E110" s="98"/>
    </row>
    <row r="111" spans="1:5">
      <c r="A111" s="98"/>
      <c r="B111" s="98"/>
      <c r="C111" s="98"/>
      <c r="D111" s="98"/>
      <c r="E111" s="98"/>
    </row>
    <row r="112" spans="1:5">
      <c r="A112" s="98"/>
      <c r="B112" s="98"/>
      <c r="C112" s="98"/>
      <c r="D112" s="98"/>
      <c r="E112" s="98"/>
    </row>
    <row r="113" spans="1:5">
      <c r="A113" s="98"/>
      <c r="B113" s="98"/>
      <c r="C113" s="98"/>
      <c r="D113" s="98"/>
      <c r="E113" s="98"/>
    </row>
    <row r="114" spans="1:5">
      <c r="A114" s="98"/>
      <c r="B114" s="98"/>
      <c r="C114" s="98"/>
      <c r="D114" s="98"/>
      <c r="E114" s="98"/>
    </row>
    <row r="115" spans="1:5">
      <c r="A115" s="98"/>
      <c r="B115" s="98"/>
      <c r="C115" s="98"/>
      <c r="D115" s="98"/>
      <c r="E115" s="98"/>
    </row>
    <row r="116" spans="1:5">
      <c r="A116" s="98"/>
      <c r="B116" s="98"/>
      <c r="C116" s="98"/>
      <c r="D116" s="98"/>
      <c r="E116" s="98"/>
    </row>
    <row r="117" spans="1:5">
      <c r="A117" s="98"/>
      <c r="B117" s="98"/>
      <c r="C117" s="98"/>
      <c r="D117" s="98"/>
      <c r="E117" s="98"/>
    </row>
    <row r="118" spans="1:5">
      <c r="A118" s="98"/>
      <c r="B118" s="98"/>
      <c r="C118" s="98"/>
      <c r="D118" s="98"/>
      <c r="E118" s="98"/>
    </row>
    <row r="119" spans="1:5">
      <c r="A119" s="98"/>
      <c r="B119" s="98"/>
      <c r="C119" s="98"/>
      <c r="D119" s="98"/>
      <c r="E119" s="98"/>
    </row>
    <row r="120" spans="1:5">
      <c r="A120" s="98"/>
      <c r="B120" s="98"/>
      <c r="C120" s="98"/>
      <c r="D120" s="98"/>
      <c r="E120" s="98"/>
    </row>
    <row r="121" spans="1:5">
      <c r="A121" s="98"/>
      <c r="B121" s="98"/>
      <c r="C121" s="98"/>
      <c r="D121" s="98"/>
      <c r="E121" s="98"/>
    </row>
    <row r="122" spans="1:5">
      <c r="A122" s="98"/>
      <c r="B122" s="98"/>
      <c r="C122" s="98"/>
      <c r="D122" s="98"/>
      <c r="E122" s="98"/>
    </row>
    <row r="123" spans="1:5">
      <c r="A123" s="98"/>
      <c r="B123" s="98"/>
      <c r="C123" s="98"/>
      <c r="D123" s="98"/>
      <c r="E123" s="98"/>
    </row>
    <row r="124" spans="1:5">
      <c r="A124" s="98"/>
      <c r="B124" s="98"/>
      <c r="C124" s="98"/>
      <c r="D124" s="98"/>
      <c r="E124" s="98"/>
    </row>
    <row r="125" spans="1:5">
      <c r="A125" s="98"/>
      <c r="B125" s="98"/>
      <c r="C125" s="98"/>
      <c r="D125" s="98"/>
      <c r="E125" s="98"/>
    </row>
  </sheetData>
  <mergeCells count="4">
    <mergeCell ref="A2:Q2"/>
    <mergeCell ref="A3:Q3"/>
    <mergeCell ref="A6:E6"/>
    <mergeCell ref="A65:E65"/>
  </mergeCells>
  <printOptions horizontalCentered="1"/>
  <pageMargins left="0.23622047244094491" right="0" top="0.59055118110236227" bottom="0" header="0" footer="0"/>
  <pageSetup paperSize="9" scale="8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S58"/>
  <sheetViews>
    <sheetView zoomScaleNormal="100" workbookViewId="0">
      <pane xSplit="5" ySplit="5" topLeftCell="F6" activePane="bottomRight" state="frozen"/>
      <selection pane="topRight" activeCell="F1" sqref="F1"/>
      <selection pane="bottomLeft" activeCell="A7" sqref="A7"/>
      <selection pane="bottomRight" activeCell="A5" sqref="A5:Q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0.140625" style="2" customWidth="1"/>
    <col min="6" max="17" width="10.140625" style="2" bestFit="1" customWidth="1"/>
    <col min="18" max="19" width="9.140625" style="2" customWidth="1"/>
    <col min="20" max="16384" width="9.140625" style="2"/>
  </cols>
  <sheetData>
    <row r="1" spans="1:19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70"/>
      <c r="S1" s="70"/>
    </row>
    <row r="2" spans="1:19">
      <c r="A2" s="19" t="s">
        <v>50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9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9" ht="12" customHeight="1">
      <c r="A4" s="4"/>
      <c r="I4" s="70"/>
    </row>
    <row r="5" spans="1:19" ht="23.25" customHeight="1">
      <c r="A5" s="186" t="s">
        <v>1</v>
      </c>
      <c r="B5" s="187"/>
      <c r="C5" s="187"/>
      <c r="D5" s="187"/>
      <c r="E5" s="187"/>
      <c r="F5" s="163" t="s">
        <v>5</v>
      </c>
      <c r="G5" s="163" t="s">
        <v>23</v>
      </c>
      <c r="H5" s="163" t="s">
        <v>24</v>
      </c>
      <c r="I5" s="163" t="s">
        <v>26</v>
      </c>
      <c r="J5" s="163" t="s">
        <v>27</v>
      </c>
      <c r="K5" s="163" t="s">
        <v>34</v>
      </c>
      <c r="L5" s="163" t="s">
        <v>28</v>
      </c>
      <c r="M5" s="163" t="s">
        <v>29</v>
      </c>
      <c r="N5" s="163" t="s">
        <v>30</v>
      </c>
      <c r="O5" s="163" t="s">
        <v>31</v>
      </c>
      <c r="P5" s="163" t="s">
        <v>32</v>
      </c>
      <c r="Q5" s="163" t="s">
        <v>33</v>
      </c>
    </row>
    <row r="6" spans="1:19" ht="9" customHeight="1">
      <c r="A6" s="46"/>
      <c r="B6" s="46"/>
      <c r="C6" s="46"/>
      <c r="D6" s="46"/>
      <c r="E6" s="46"/>
      <c r="F6" s="47"/>
    </row>
    <row r="7" spans="1:19" ht="14.25" customHeight="1">
      <c r="A7" s="1" t="s">
        <v>6</v>
      </c>
      <c r="B7" s="1"/>
      <c r="C7" s="1"/>
      <c r="D7" s="1"/>
      <c r="E7" s="1"/>
      <c r="F7" s="13">
        <v>3620441</v>
      </c>
      <c r="G7" s="13">
        <v>3644286</v>
      </c>
      <c r="H7" s="13">
        <v>3662321</v>
      </c>
      <c r="I7" s="13">
        <v>3686262</v>
      </c>
      <c r="J7" s="13">
        <v>3705871</v>
      </c>
      <c r="K7" s="13">
        <v>3731795</v>
      </c>
      <c r="L7" s="13">
        <v>3757031</v>
      </c>
      <c r="M7" s="13">
        <v>3777846</v>
      </c>
      <c r="N7" s="13">
        <v>3759345</v>
      </c>
      <c r="O7" s="13">
        <v>3756047</v>
      </c>
      <c r="P7" s="13">
        <v>3789325</v>
      </c>
      <c r="Q7" s="13">
        <v>3820603</v>
      </c>
    </row>
    <row r="8" spans="1:19">
      <c r="A8" s="1"/>
      <c r="B8" s="1" t="s">
        <v>37</v>
      </c>
      <c r="C8" s="1"/>
      <c r="D8" s="1"/>
      <c r="E8" s="1"/>
      <c r="F8" s="13">
        <v>598</v>
      </c>
      <c r="G8" s="13">
        <v>598</v>
      </c>
      <c r="H8" s="13">
        <v>598</v>
      </c>
      <c r="I8" s="13">
        <v>598</v>
      </c>
      <c r="J8" s="13">
        <v>598</v>
      </c>
      <c r="K8" s="13">
        <v>598</v>
      </c>
      <c r="L8" s="13">
        <v>598</v>
      </c>
      <c r="M8" s="13">
        <v>598</v>
      </c>
      <c r="N8" s="13">
        <v>598</v>
      </c>
      <c r="O8" s="13">
        <v>598</v>
      </c>
      <c r="P8" s="13">
        <v>598</v>
      </c>
      <c r="Q8" s="13">
        <v>598</v>
      </c>
    </row>
    <row r="9" spans="1:19">
      <c r="C9" s="2" t="s">
        <v>10</v>
      </c>
      <c r="F9" s="14">
        <v>156</v>
      </c>
      <c r="G9" s="14">
        <v>156</v>
      </c>
      <c r="H9" s="14">
        <v>156</v>
      </c>
      <c r="I9" s="14">
        <v>156</v>
      </c>
      <c r="J9" s="14">
        <v>156</v>
      </c>
      <c r="K9" s="14">
        <v>156</v>
      </c>
      <c r="L9" s="14">
        <v>156</v>
      </c>
      <c r="M9" s="14">
        <v>156</v>
      </c>
      <c r="N9" s="14">
        <v>156</v>
      </c>
      <c r="O9" s="14">
        <v>156</v>
      </c>
      <c r="P9" s="14">
        <v>156</v>
      </c>
      <c r="Q9" s="14">
        <v>156</v>
      </c>
      <c r="R9" s="15"/>
      <c r="S9" s="2" t="s">
        <v>35</v>
      </c>
    </row>
    <row r="10" spans="1:19">
      <c r="D10" s="2" t="s">
        <v>2</v>
      </c>
      <c r="F10" s="15">
        <v>156</v>
      </c>
      <c r="G10" s="15">
        <v>156</v>
      </c>
      <c r="H10" s="15">
        <v>156</v>
      </c>
      <c r="I10" s="15">
        <v>156</v>
      </c>
      <c r="J10" s="15">
        <v>156</v>
      </c>
      <c r="K10" s="15">
        <v>156</v>
      </c>
      <c r="L10" s="15">
        <v>156</v>
      </c>
      <c r="M10" s="15">
        <v>156</v>
      </c>
      <c r="N10" s="15">
        <v>156</v>
      </c>
      <c r="O10" s="15">
        <v>156</v>
      </c>
      <c r="P10" s="15">
        <v>156</v>
      </c>
      <c r="Q10" s="15">
        <v>156</v>
      </c>
    </row>
    <row r="11" spans="1:19">
      <c r="D11" s="2" t="s">
        <v>3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</row>
    <row r="12" spans="1:19">
      <c r="C12" s="2" t="s">
        <v>4</v>
      </c>
      <c r="F12" s="14">
        <v>442</v>
      </c>
      <c r="G12" s="14">
        <v>442</v>
      </c>
      <c r="H12" s="14">
        <v>442</v>
      </c>
      <c r="I12" s="14">
        <v>442</v>
      </c>
      <c r="J12" s="14">
        <v>442</v>
      </c>
      <c r="K12" s="14">
        <v>442</v>
      </c>
      <c r="L12" s="14">
        <v>442</v>
      </c>
      <c r="M12" s="14">
        <v>442</v>
      </c>
      <c r="N12" s="14">
        <v>442</v>
      </c>
      <c r="O12" s="14">
        <v>442</v>
      </c>
      <c r="P12" s="14">
        <v>442</v>
      </c>
      <c r="Q12" s="14">
        <v>442</v>
      </c>
    </row>
    <row r="13" spans="1:19" hidden="1">
      <c r="D13" s="2" t="s">
        <v>12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</row>
    <row r="14" spans="1:19">
      <c r="D14" s="2" t="s">
        <v>13</v>
      </c>
      <c r="F14" s="15">
        <v>442</v>
      </c>
      <c r="G14" s="15">
        <v>442</v>
      </c>
      <c r="H14" s="15">
        <v>442</v>
      </c>
      <c r="I14" s="15">
        <v>442</v>
      </c>
      <c r="J14" s="15">
        <v>442</v>
      </c>
      <c r="K14" s="15">
        <v>442</v>
      </c>
      <c r="L14" s="15">
        <v>442</v>
      </c>
      <c r="M14" s="15">
        <v>442</v>
      </c>
      <c r="N14" s="15">
        <v>442</v>
      </c>
      <c r="O14" s="15">
        <v>442</v>
      </c>
      <c r="P14" s="15">
        <v>442</v>
      </c>
      <c r="Q14" s="15">
        <v>442</v>
      </c>
    </row>
    <row r="15" spans="1:19" hidden="1">
      <c r="D15" s="2" t="s">
        <v>14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</row>
    <row r="16" spans="1:19" hidden="1">
      <c r="D16" s="2" t="s">
        <v>15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</row>
    <row r="17" spans="1:17" ht="8.25" customHeight="1"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s="1" customFormat="1" ht="15" customHeight="1">
      <c r="B18" s="1" t="s">
        <v>38</v>
      </c>
      <c r="F18" s="16">
        <v>3619843</v>
      </c>
      <c r="G18" s="16">
        <v>3643688</v>
      </c>
      <c r="H18" s="16">
        <v>3661723</v>
      </c>
      <c r="I18" s="16">
        <v>3685664</v>
      </c>
      <c r="J18" s="16">
        <v>3705273</v>
      </c>
      <c r="K18" s="16">
        <v>3731197</v>
      </c>
      <c r="L18" s="16">
        <v>3756433</v>
      </c>
      <c r="M18" s="16">
        <v>3777248</v>
      </c>
      <c r="N18" s="16">
        <v>3758747</v>
      </c>
      <c r="O18" s="16">
        <v>3755449</v>
      </c>
      <c r="P18" s="16">
        <v>3788727</v>
      </c>
      <c r="Q18" s="16">
        <v>3820005</v>
      </c>
    </row>
    <row r="19" spans="1:17" ht="15" customHeight="1"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5" customHeight="1">
      <c r="A20" s="1" t="s">
        <v>41</v>
      </c>
      <c r="B20" s="1"/>
      <c r="C20" s="1"/>
      <c r="D20" s="1"/>
      <c r="E20" s="1"/>
      <c r="F20" s="13">
        <v>1973306</v>
      </c>
      <c r="G20" s="13">
        <v>1947248</v>
      </c>
      <c r="H20" s="13">
        <v>1966104</v>
      </c>
      <c r="I20" s="13">
        <v>1953962</v>
      </c>
      <c r="J20" s="13">
        <v>1926732</v>
      </c>
      <c r="K20" s="13">
        <v>1919087</v>
      </c>
      <c r="L20" s="13">
        <v>1925972</v>
      </c>
      <c r="M20" s="13">
        <v>1935699</v>
      </c>
      <c r="N20" s="13">
        <v>1963661</v>
      </c>
      <c r="O20" s="13">
        <v>1957557</v>
      </c>
      <c r="P20" s="13">
        <v>1926974</v>
      </c>
      <c r="Q20" s="13">
        <v>1914639</v>
      </c>
    </row>
    <row r="21" spans="1:17">
      <c r="A21" s="1"/>
      <c r="B21" s="1" t="s">
        <v>37</v>
      </c>
      <c r="C21" s="1"/>
      <c r="D21" s="1"/>
      <c r="E21" s="1"/>
      <c r="F21" s="13">
        <v>719517</v>
      </c>
      <c r="G21" s="13">
        <v>706979</v>
      </c>
      <c r="H21" s="13">
        <v>719843</v>
      </c>
      <c r="I21" s="13">
        <v>717437</v>
      </c>
      <c r="J21" s="13">
        <v>705212</v>
      </c>
      <c r="K21" s="13">
        <v>701064</v>
      </c>
      <c r="L21" s="13">
        <v>717784</v>
      </c>
      <c r="M21" s="13">
        <v>720888</v>
      </c>
      <c r="N21" s="13">
        <v>719956</v>
      </c>
      <c r="O21" s="13">
        <v>716424</v>
      </c>
      <c r="P21" s="13">
        <v>690366</v>
      </c>
      <c r="Q21" s="13">
        <v>683215</v>
      </c>
    </row>
    <row r="22" spans="1:17" ht="15.75" customHeight="1">
      <c r="C22" s="2" t="s">
        <v>10</v>
      </c>
      <c r="F22" s="14">
        <v>719517</v>
      </c>
      <c r="G22" s="14">
        <v>706979</v>
      </c>
      <c r="H22" s="14">
        <v>719843</v>
      </c>
      <c r="I22" s="14">
        <v>717437</v>
      </c>
      <c r="J22" s="14">
        <v>705212</v>
      </c>
      <c r="K22" s="14">
        <v>701064</v>
      </c>
      <c r="L22" s="14">
        <v>717784</v>
      </c>
      <c r="M22" s="14">
        <v>720888</v>
      </c>
      <c r="N22" s="14">
        <v>719956</v>
      </c>
      <c r="O22" s="14">
        <v>716424</v>
      </c>
      <c r="P22" s="14">
        <v>690366</v>
      </c>
      <c r="Q22" s="14">
        <v>683215</v>
      </c>
    </row>
    <row r="23" spans="1:17">
      <c r="D23" s="2" t="s">
        <v>2</v>
      </c>
      <c r="F23" s="15">
        <v>679732</v>
      </c>
      <c r="G23" s="15">
        <v>668000</v>
      </c>
      <c r="H23" s="15">
        <v>681297</v>
      </c>
      <c r="I23" s="15">
        <v>679391</v>
      </c>
      <c r="J23" s="15">
        <v>668233</v>
      </c>
      <c r="K23" s="15">
        <v>664477</v>
      </c>
      <c r="L23" s="15">
        <v>682078</v>
      </c>
      <c r="M23" s="15">
        <v>685599</v>
      </c>
      <c r="N23" s="15">
        <v>685804</v>
      </c>
      <c r="O23" s="15">
        <v>682532</v>
      </c>
      <c r="P23" s="15">
        <v>658825</v>
      </c>
      <c r="Q23" s="15">
        <v>652675</v>
      </c>
    </row>
    <row r="24" spans="1:17">
      <c r="D24" s="2" t="s">
        <v>3</v>
      </c>
      <c r="F24" s="15">
        <v>39785</v>
      </c>
      <c r="G24" s="15">
        <v>38979</v>
      </c>
      <c r="H24" s="15">
        <v>38546</v>
      </c>
      <c r="I24" s="15">
        <v>38046</v>
      </c>
      <c r="J24" s="15">
        <v>36979</v>
      </c>
      <c r="K24" s="15">
        <v>36587</v>
      </c>
      <c r="L24" s="15">
        <v>35706</v>
      </c>
      <c r="M24" s="15">
        <v>35289</v>
      </c>
      <c r="N24" s="15">
        <v>34152</v>
      </c>
      <c r="O24" s="15">
        <v>33892</v>
      </c>
      <c r="P24" s="15">
        <v>31541</v>
      </c>
      <c r="Q24" s="15">
        <v>30540</v>
      </c>
    </row>
    <row r="25" spans="1:17">
      <c r="C25" s="2" t="s">
        <v>4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</row>
    <row r="26" spans="1:17" hidden="1">
      <c r="D26" s="2" t="s">
        <v>12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</row>
    <row r="27" spans="1:17" hidden="1">
      <c r="D27" s="2" t="s">
        <v>13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</row>
    <row r="28" spans="1:17" hidden="1">
      <c r="D28" s="2" t="s">
        <v>14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</row>
    <row r="29" spans="1:17" hidden="1">
      <c r="D29" s="2" t="s">
        <v>15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</row>
    <row r="30" spans="1:17" hidden="1">
      <c r="D30" s="2" t="s">
        <v>16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</row>
    <row r="31" spans="1:17" ht="11.25" customHeight="1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s="1" customFormat="1">
      <c r="B32" s="1" t="s">
        <v>38</v>
      </c>
      <c r="F32" s="16">
        <v>1253789</v>
      </c>
      <c r="G32" s="16">
        <v>1240269</v>
      </c>
      <c r="H32" s="16">
        <v>1246261</v>
      </c>
      <c r="I32" s="16">
        <v>1236525</v>
      </c>
      <c r="J32" s="16">
        <v>1221520</v>
      </c>
      <c r="K32" s="16">
        <v>1218023</v>
      </c>
      <c r="L32" s="16">
        <v>1208188</v>
      </c>
      <c r="M32" s="16">
        <v>1214811</v>
      </c>
      <c r="N32" s="16">
        <v>1243705</v>
      </c>
      <c r="O32" s="16">
        <v>1241133</v>
      </c>
      <c r="P32" s="16">
        <v>1236608</v>
      </c>
      <c r="Q32" s="16">
        <v>1231424</v>
      </c>
    </row>
    <row r="34" spans="1:17">
      <c r="C34" s="1" t="s">
        <v>7</v>
      </c>
      <c r="D34" s="1"/>
      <c r="E34" s="1"/>
      <c r="F34" s="41">
        <v>5593748</v>
      </c>
      <c r="G34" s="41">
        <v>5591534</v>
      </c>
      <c r="H34" s="41">
        <v>5628425</v>
      </c>
      <c r="I34" s="41">
        <v>5640224</v>
      </c>
      <c r="J34" s="41">
        <v>5632603</v>
      </c>
      <c r="K34" s="41">
        <v>5650882</v>
      </c>
      <c r="L34" s="41">
        <v>5683003</v>
      </c>
      <c r="M34" s="41">
        <v>5713545</v>
      </c>
      <c r="N34" s="41">
        <v>5723006</v>
      </c>
      <c r="O34" s="41">
        <v>5713604</v>
      </c>
      <c r="P34" s="41">
        <v>5716299</v>
      </c>
      <c r="Q34" s="41">
        <v>5735242</v>
      </c>
    </row>
    <row r="35" spans="1:17">
      <c r="A35" s="8"/>
      <c r="B35" s="9"/>
      <c r="C35" s="9"/>
      <c r="D35" s="9"/>
    </row>
    <row r="36" spans="1:17">
      <c r="A36" s="2" t="s">
        <v>11</v>
      </c>
    </row>
    <row r="37" spans="1:17">
      <c r="A37" s="1"/>
    </row>
    <row r="38" spans="1:17" s="11" customFormat="1">
      <c r="A38" s="10" t="s">
        <v>8</v>
      </c>
      <c r="B38" s="10"/>
      <c r="C38" s="10"/>
      <c r="D38" s="10"/>
      <c r="E38" s="10"/>
      <c r="F38" s="71">
        <v>45.2</v>
      </c>
      <c r="G38" s="71">
        <v>44.65</v>
      </c>
      <c r="H38" s="71">
        <v>44.9</v>
      </c>
      <c r="I38" s="71">
        <v>44.5</v>
      </c>
      <c r="J38" s="71">
        <v>43.9</v>
      </c>
      <c r="K38" s="71">
        <v>43.75</v>
      </c>
      <c r="L38" s="71">
        <v>43.4</v>
      </c>
      <c r="M38" s="71">
        <v>43.7</v>
      </c>
      <c r="N38" s="71">
        <v>45</v>
      </c>
      <c r="O38" s="71">
        <v>44.9</v>
      </c>
      <c r="P38" s="71">
        <v>44.85</v>
      </c>
      <c r="Q38" s="71">
        <v>44.7</v>
      </c>
    </row>
    <row r="39" spans="1:17" s="11" customFormat="1">
      <c r="A39" s="10"/>
      <c r="B39" s="10"/>
      <c r="C39" s="10"/>
      <c r="D39" s="10"/>
      <c r="E39" s="10"/>
    </row>
    <row r="40" spans="1:17" s="11" customFormat="1">
      <c r="A40" s="10"/>
      <c r="B40" s="10"/>
      <c r="C40" s="10"/>
      <c r="D40" s="10"/>
      <c r="E40" s="10"/>
    </row>
    <row r="41" spans="1:17">
      <c r="A41" s="11" t="s">
        <v>22</v>
      </c>
    </row>
    <row r="42" spans="1:17">
      <c r="A42" s="11"/>
    </row>
    <row r="43" spans="1:17">
      <c r="A43" s="48"/>
      <c r="E43" s="11"/>
    </row>
    <row r="44" spans="1:17">
      <c r="A44" s="12"/>
      <c r="E44" s="11"/>
    </row>
    <row r="45" spans="1:17">
      <c r="A45" s="12"/>
      <c r="E45" s="11"/>
    </row>
    <row r="46" spans="1:17">
      <c r="A46" s="12"/>
      <c r="E46" s="11"/>
    </row>
    <row r="47" spans="1:17">
      <c r="A47" s="12"/>
      <c r="E47" s="11"/>
    </row>
    <row r="48" spans="1:17">
      <c r="A48" s="12"/>
      <c r="E48" s="11"/>
    </row>
    <row r="49" spans="1:5">
      <c r="A49" s="12"/>
      <c r="E49" s="11"/>
    </row>
    <row r="50" spans="1:5">
      <c r="A50" s="12"/>
      <c r="E50" s="11"/>
    </row>
    <row r="51" spans="1:5">
      <c r="A51" s="12"/>
      <c r="E51" s="11"/>
    </row>
    <row r="52" spans="1:5">
      <c r="A52" s="12"/>
      <c r="E52" s="11"/>
    </row>
    <row r="53" spans="1:5">
      <c r="A53" s="12"/>
      <c r="E53" s="11"/>
    </row>
    <row r="54" spans="1:5">
      <c r="A54" s="12"/>
      <c r="E54" s="11"/>
    </row>
    <row r="55" spans="1:5">
      <c r="A55" s="12"/>
      <c r="E55" s="11"/>
    </row>
    <row r="56" spans="1:5">
      <c r="A56" s="12"/>
      <c r="E56" s="11"/>
    </row>
    <row r="57" spans="1:5">
      <c r="A57" s="12"/>
      <c r="E57" s="11"/>
    </row>
    <row r="58" spans="1:5">
      <c r="A58" s="12"/>
      <c r="E58" s="11"/>
    </row>
  </sheetData>
  <mergeCells count="1">
    <mergeCell ref="A5:E5"/>
  </mergeCells>
  <pageMargins left="0.5" right="0" top="0.75" bottom="0" header="0" footer="0"/>
  <pageSetup paperSize="9" scale="7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71BC-DD7E-4278-AE5E-B160A43C7660}">
  <sheetPr>
    <pageSetUpPr fitToPage="1"/>
  </sheetPr>
  <dimension ref="A1:IS103"/>
  <sheetViews>
    <sheetView topLeftCell="A61" workbookViewId="0">
      <pane xSplit="5" ySplit="7" topLeftCell="F68" activePane="bottomRight" state="frozen"/>
      <selection activeCell="A61" sqref="A61"/>
      <selection pane="topRight" activeCell="F61" sqref="F61"/>
      <selection pane="bottomLeft" activeCell="A69" sqref="A69"/>
      <selection pane="bottomRight" activeCell="I68" sqref="I68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0" style="2" customWidth="1"/>
    <col min="6" max="14" width="8.85546875" style="2" customWidth="1"/>
    <col min="15" max="15" width="8.42578125" style="2" customWidth="1"/>
    <col min="16" max="16" width="8.140625" style="2" hidden="1" customWidth="1"/>
    <col min="17" max="18" width="8.42578125" style="2" customWidth="1"/>
    <col min="19" max="19" width="1.85546875" style="2" customWidth="1"/>
    <col min="20" max="16384" width="9.140625" style="2"/>
  </cols>
  <sheetData>
    <row r="1" spans="1:21" hidden="1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70"/>
      <c r="T1" s="70"/>
      <c r="U1" s="70"/>
    </row>
    <row r="2" spans="1:21" hidden="1">
      <c r="A2" s="180" t="s">
        <v>174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</row>
    <row r="3" spans="1:21" hidden="1">
      <c r="A3" s="181" t="s">
        <v>0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</row>
    <row r="4" spans="1:21" hidden="1">
      <c r="A4" s="4"/>
    </row>
    <row r="5" spans="1:21" hidden="1">
      <c r="A5" s="4"/>
      <c r="I5" s="70"/>
    </row>
    <row r="6" spans="1:21" ht="16.5" hidden="1" customHeight="1">
      <c r="A6" s="182" t="s">
        <v>1</v>
      </c>
      <c r="B6" s="183"/>
      <c r="C6" s="183"/>
      <c r="D6" s="183"/>
      <c r="E6" s="183"/>
      <c r="F6" s="74" t="s">
        <v>5</v>
      </c>
      <c r="G6" s="74" t="s">
        <v>23</v>
      </c>
      <c r="H6" s="74" t="s">
        <v>24</v>
      </c>
      <c r="I6" s="74" t="s">
        <v>26</v>
      </c>
      <c r="J6" s="74" t="s">
        <v>27</v>
      </c>
      <c r="K6" s="74" t="s">
        <v>34</v>
      </c>
      <c r="L6" s="74" t="s">
        <v>28</v>
      </c>
      <c r="M6" s="74" t="s">
        <v>29</v>
      </c>
      <c r="N6" s="74" t="s">
        <v>30</v>
      </c>
      <c r="O6" s="74" t="s">
        <v>31</v>
      </c>
      <c r="P6" s="74" t="s">
        <v>32</v>
      </c>
      <c r="Q6" s="147"/>
      <c r="R6" s="147"/>
    </row>
    <row r="7" spans="1:21" ht="16.5" hidden="1" customHeight="1">
      <c r="A7" s="46"/>
      <c r="B7" s="46"/>
      <c r="C7" s="46"/>
      <c r="D7" s="46"/>
      <c r="E7" s="46"/>
      <c r="F7" s="47"/>
    </row>
    <row r="8" spans="1:21" ht="14.25" hidden="1" customHeight="1">
      <c r="A8" s="1" t="s">
        <v>6</v>
      </c>
      <c r="B8" s="1"/>
      <c r="C8" s="1"/>
      <c r="D8" s="1"/>
      <c r="E8" s="1"/>
      <c r="F8" s="13">
        <f>+F10+F15</f>
        <v>3620441</v>
      </c>
      <c r="G8" s="13">
        <f t="shared" ref="G8:P8" si="0">+G10+G15</f>
        <v>3448346</v>
      </c>
      <c r="H8" s="13">
        <f t="shared" si="0"/>
        <v>3406134</v>
      </c>
      <c r="I8" s="13">
        <f t="shared" si="0"/>
        <v>3438919</v>
      </c>
      <c r="J8" s="13">
        <f t="shared" si="0"/>
        <v>3461357</v>
      </c>
      <c r="K8" s="13">
        <f>+K10+K15+1</f>
        <v>3501791</v>
      </c>
      <c r="L8" s="13">
        <f t="shared" si="0"/>
        <v>3499788</v>
      </c>
      <c r="M8" s="13">
        <f t="shared" si="0"/>
        <v>3647850</v>
      </c>
      <c r="N8" s="13">
        <f t="shared" si="0"/>
        <v>3677568</v>
      </c>
      <c r="O8" s="13">
        <f t="shared" si="0"/>
        <v>3727189</v>
      </c>
      <c r="P8" s="13">
        <f t="shared" si="0"/>
        <v>3744754</v>
      </c>
    </row>
    <row r="9" spans="1:21" hidden="1">
      <c r="A9" s="1"/>
      <c r="B9" s="1"/>
      <c r="C9" s="1"/>
      <c r="D9" s="1"/>
      <c r="E9" s="1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21" hidden="1">
      <c r="B10" s="2" t="s">
        <v>9</v>
      </c>
      <c r="F10" s="14">
        <f>+F11+F12+F13</f>
        <v>3619999</v>
      </c>
      <c r="G10" s="14">
        <f t="shared" ref="G10:P10" si="1">+G11+G12+G13</f>
        <v>3446052</v>
      </c>
      <c r="H10" s="14">
        <f t="shared" si="1"/>
        <v>3403840</v>
      </c>
      <c r="I10" s="14">
        <f t="shared" si="1"/>
        <v>3436625</v>
      </c>
      <c r="J10" s="14">
        <f t="shared" si="1"/>
        <v>3459063</v>
      </c>
      <c r="K10" s="14">
        <f t="shared" si="1"/>
        <v>3501348</v>
      </c>
      <c r="L10" s="14">
        <f t="shared" si="1"/>
        <v>3499346</v>
      </c>
      <c r="M10" s="14">
        <f t="shared" si="1"/>
        <v>3647408</v>
      </c>
      <c r="N10" s="14">
        <f t="shared" si="1"/>
        <v>3677126</v>
      </c>
      <c r="O10" s="14">
        <f t="shared" si="1"/>
        <v>3726747</v>
      </c>
      <c r="P10" s="14">
        <f t="shared" si="1"/>
        <v>3744312</v>
      </c>
      <c r="T10" s="15"/>
    </row>
    <row r="11" spans="1:21" ht="15" hidden="1" customHeight="1">
      <c r="C11" s="2" t="s">
        <v>169</v>
      </c>
      <c r="F11" s="15">
        <v>3619843</v>
      </c>
      <c r="G11" s="15">
        <v>3445896</v>
      </c>
      <c r="H11" s="15">
        <v>3403684</v>
      </c>
      <c r="I11" s="15">
        <v>3436469</v>
      </c>
      <c r="J11" s="15">
        <v>3458907</v>
      </c>
      <c r="K11" s="15">
        <v>3501192</v>
      </c>
      <c r="L11" s="15">
        <v>3499190</v>
      </c>
      <c r="M11" s="15">
        <v>3647252</v>
      </c>
      <c r="N11" s="15">
        <v>3676970</v>
      </c>
      <c r="O11" s="15">
        <v>3726591</v>
      </c>
      <c r="P11" s="15">
        <v>3744156</v>
      </c>
    </row>
    <row r="12" spans="1:21" hidden="1">
      <c r="C12" s="2" t="s">
        <v>2</v>
      </c>
      <c r="F12" s="15">
        <v>156</v>
      </c>
      <c r="G12" s="15">
        <v>156</v>
      </c>
      <c r="H12" s="15">
        <v>156</v>
      </c>
      <c r="I12" s="15">
        <v>156</v>
      </c>
      <c r="J12" s="15">
        <v>156</v>
      </c>
      <c r="K12" s="15">
        <v>156</v>
      </c>
      <c r="L12" s="15">
        <v>156</v>
      </c>
      <c r="M12" s="15">
        <v>156</v>
      </c>
      <c r="N12" s="15">
        <v>156</v>
      </c>
      <c r="O12" s="15">
        <v>156</v>
      </c>
      <c r="P12" s="15">
        <v>156</v>
      </c>
    </row>
    <row r="13" spans="1:21" hidden="1">
      <c r="C13" s="2" t="s">
        <v>3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</row>
    <row r="14" spans="1:21" ht="8.25" hidden="1" customHeight="1"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21" hidden="1">
      <c r="B15" s="2" t="s">
        <v>4</v>
      </c>
      <c r="F15" s="14">
        <f>SUM(F16:F19)</f>
        <v>442</v>
      </c>
      <c r="G15" s="14">
        <f t="shared" ref="G15:P15" si="2">SUM(G16:G19)</f>
        <v>2294</v>
      </c>
      <c r="H15" s="14">
        <f t="shared" si="2"/>
        <v>2294</v>
      </c>
      <c r="I15" s="14">
        <f t="shared" si="2"/>
        <v>2294</v>
      </c>
      <c r="J15" s="14">
        <f t="shared" si="2"/>
        <v>2294</v>
      </c>
      <c r="K15" s="14">
        <f t="shared" si="2"/>
        <v>442</v>
      </c>
      <c r="L15" s="14">
        <f t="shared" si="2"/>
        <v>442</v>
      </c>
      <c r="M15" s="14">
        <f t="shared" si="2"/>
        <v>442</v>
      </c>
      <c r="N15" s="14">
        <f t="shared" si="2"/>
        <v>442</v>
      </c>
      <c r="O15" s="14">
        <f t="shared" si="2"/>
        <v>442</v>
      </c>
      <c r="P15" s="14">
        <f t="shared" si="2"/>
        <v>442</v>
      </c>
    </row>
    <row r="16" spans="1:21" hidden="1">
      <c r="C16" s="2" t="s">
        <v>12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</row>
    <row r="17" spans="1:16" hidden="1">
      <c r="C17" s="2" t="s">
        <v>13</v>
      </c>
      <c r="F17" s="15">
        <v>442</v>
      </c>
      <c r="G17" s="15">
        <v>2288</v>
      </c>
      <c r="H17" s="15">
        <v>2288</v>
      </c>
      <c r="I17" s="15">
        <v>2288</v>
      </c>
      <c r="J17" s="15">
        <v>2288</v>
      </c>
      <c r="K17" s="15">
        <v>442</v>
      </c>
      <c r="L17" s="15">
        <v>442</v>
      </c>
      <c r="M17" s="15">
        <v>442</v>
      </c>
      <c r="N17" s="15">
        <v>442</v>
      </c>
      <c r="O17" s="15">
        <v>442</v>
      </c>
      <c r="P17" s="15">
        <v>442</v>
      </c>
    </row>
    <row r="18" spans="1:16" hidden="1">
      <c r="C18" s="2" t="s">
        <v>14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</row>
    <row r="19" spans="1:16" hidden="1">
      <c r="C19" s="2" t="s">
        <v>15</v>
      </c>
      <c r="F19" s="15">
        <v>0</v>
      </c>
      <c r="G19" s="15">
        <v>6</v>
      </c>
      <c r="H19" s="15">
        <v>6</v>
      </c>
      <c r="I19" s="15">
        <v>6</v>
      </c>
      <c r="J19" s="15">
        <v>6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</row>
    <row r="20" spans="1:16" hidden="1"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ht="15" hidden="1" customHeight="1">
      <c r="A21" s="1" t="s">
        <v>170</v>
      </c>
      <c r="B21" s="1"/>
      <c r="C21" s="1"/>
      <c r="D21" s="1"/>
      <c r="E21" s="1"/>
      <c r="F21" s="13">
        <f>+F22+F26+F33</f>
        <v>1973306</v>
      </c>
      <c r="G21" s="13">
        <f t="shared" ref="G21:P21" si="3">+G22+G26+G33</f>
        <v>1876939</v>
      </c>
      <c r="H21" s="13">
        <f t="shared" si="3"/>
        <v>1875346</v>
      </c>
      <c r="I21" s="13">
        <f t="shared" si="3"/>
        <v>1869869</v>
      </c>
      <c r="J21" s="13">
        <f t="shared" si="3"/>
        <v>1902704</v>
      </c>
      <c r="K21" s="13">
        <f t="shared" si="3"/>
        <v>1949537</v>
      </c>
      <c r="L21" s="13">
        <f t="shared" si="3"/>
        <v>1960980</v>
      </c>
      <c r="M21" s="13">
        <f t="shared" si="3"/>
        <v>1994676</v>
      </c>
      <c r="N21" s="13">
        <f t="shared" si="3"/>
        <v>1932097</v>
      </c>
      <c r="O21" s="13">
        <f t="shared" si="3"/>
        <v>1921369</v>
      </c>
      <c r="P21" s="13">
        <f t="shared" si="3"/>
        <v>1930494</v>
      </c>
    </row>
    <row r="22" spans="1:16" ht="15.75" hidden="1" customHeight="1">
      <c r="B22" s="2" t="s">
        <v>10</v>
      </c>
      <c r="F22" s="14">
        <f>+F23+F24</f>
        <v>719517</v>
      </c>
      <c r="G22" s="14">
        <f t="shared" ref="G22:P22" si="4">+G23+G24</f>
        <v>719225</v>
      </c>
      <c r="H22" s="14">
        <f t="shared" si="4"/>
        <v>710445</v>
      </c>
      <c r="I22" s="14">
        <f t="shared" si="4"/>
        <v>703401</v>
      </c>
      <c r="J22" s="14">
        <f t="shared" si="4"/>
        <v>708647</v>
      </c>
      <c r="K22" s="14">
        <f t="shared" si="4"/>
        <v>725483</v>
      </c>
      <c r="L22" s="14">
        <f t="shared" si="4"/>
        <v>737586</v>
      </c>
      <c r="M22" s="14">
        <f t="shared" si="4"/>
        <v>737427</v>
      </c>
      <c r="N22" s="14">
        <f t="shared" si="4"/>
        <v>709508</v>
      </c>
      <c r="O22" s="14">
        <f t="shared" si="4"/>
        <v>704747</v>
      </c>
      <c r="P22" s="14">
        <f t="shared" si="4"/>
        <v>699400</v>
      </c>
    </row>
    <row r="23" spans="1:16" hidden="1">
      <c r="C23" s="2" t="s">
        <v>2</v>
      </c>
      <c r="F23" s="15">
        <v>679732</v>
      </c>
      <c r="G23" s="15">
        <v>673568</v>
      </c>
      <c r="H23" s="15">
        <v>665820</v>
      </c>
      <c r="I23" s="15">
        <v>660088</v>
      </c>
      <c r="J23" s="15">
        <v>665303</v>
      </c>
      <c r="K23" s="15">
        <v>680350</v>
      </c>
      <c r="L23" s="15">
        <v>694444</v>
      </c>
      <c r="M23" s="15">
        <v>693419</v>
      </c>
      <c r="N23" s="15">
        <v>667274</v>
      </c>
      <c r="O23" s="15">
        <v>663061</v>
      </c>
      <c r="P23" s="15">
        <v>658485</v>
      </c>
    </row>
    <row r="24" spans="1:16" hidden="1">
      <c r="C24" s="2" t="s">
        <v>3</v>
      </c>
      <c r="F24" s="15">
        <v>39785</v>
      </c>
      <c r="G24" s="15">
        <v>45657</v>
      </c>
      <c r="H24" s="15">
        <v>44625</v>
      </c>
      <c r="I24" s="15">
        <v>43313</v>
      </c>
      <c r="J24" s="15">
        <v>43344</v>
      </c>
      <c r="K24" s="15">
        <v>45133</v>
      </c>
      <c r="L24" s="15">
        <v>43142</v>
      </c>
      <c r="M24" s="15">
        <v>44008</v>
      </c>
      <c r="N24" s="15">
        <v>42234</v>
      </c>
      <c r="O24" s="15">
        <v>41686</v>
      </c>
      <c r="P24" s="15">
        <v>40915</v>
      </c>
    </row>
    <row r="25" spans="1:16" ht="9" hidden="1" customHeight="1"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idden="1">
      <c r="B26" s="2" t="s">
        <v>4</v>
      </c>
      <c r="F26" s="14">
        <f>SUM(F27:F31)</f>
        <v>0</v>
      </c>
      <c r="G26" s="14">
        <f t="shared" ref="G26:P26" si="5">SUM(G27:G31)</f>
        <v>2</v>
      </c>
      <c r="H26" s="14">
        <f t="shared" si="5"/>
        <v>2</v>
      </c>
      <c r="I26" s="14">
        <f t="shared" si="5"/>
        <v>2</v>
      </c>
      <c r="J26" s="14">
        <f t="shared" si="5"/>
        <v>2</v>
      </c>
      <c r="K26" s="14">
        <f t="shared" si="5"/>
        <v>2</v>
      </c>
      <c r="L26" s="14">
        <f t="shared" si="5"/>
        <v>2</v>
      </c>
      <c r="M26" s="14">
        <f t="shared" si="5"/>
        <v>2</v>
      </c>
      <c r="N26" s="14">
        <f t="shared" si="5"/>
        <v>2</v>
      </c>
      <c r="O26" s="14">
        <f t="shared" si="5"/>
        <v>2</v>
      </c>
      <c r="P26" s="14">
        <f t="shared" si="5"/>
        <v>2</v>
      </c>
    </row>
    <row r="27" spans="1:16" hidden="1">
      <c r="D27" s="2" t="s">
        <v>12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</row>
    <row r="28" spans="1:16" hidden="1">
      <c r="D28" s="2" t="s">
        <v>13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</row>
    <row r="29" spans="1:16" hidden="1">
      <c r="D29" s="2" t="s">
        <v>14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</row>
    <row r="30" spans="1:16" hidden="1">
      <c r="D30" s="2" t="s">
        <v>15</v>
      </c>
      <c r="F30" s="15">
        <v>0</v>
      </c>
      <c r="G30" s="15">
        <v>2</v>
      </c>
      <c r="H30" s="15">
        <v>2</v>
      </c>
      <c r="I30" s="15">
        <v>2</v>
      </c>
      <c r="J30" s="15">
        <v>2</v>
      </c>
      <c r="K30" s="15">
        <v>2</v>
      </c>
      <c r="L30" s="15">
        <v>2</v>
      </c>
      <c r="M30" s="15">
        <v>2</v>
      </c>
      <c r="N30" s="15">
        <v>2</v>
      </c>
      <c r="O30" s="15">
        <v>2</v>
      </c>
      <c r="P30" s="15">
        <v>2</v>
      </c>
    </row>
    <row r="31" spans="1:16" hidden="1">
      <c r="D31" s="2" t="s">
        <v>16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</row>
    <row r="32" spans="1:16" ht="11.25" hidden="1" customHeight="1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253" hidden="1">
      <c r="B33" s="2" t="s">
        <v>173</v>
      </c>
      <c r="F33" s="15">
        <v>1253789</v>
      </c>
      <c r="G33" s="15">
        <v>1157712</v>
      </c>
      <c r="H33" s="15">
        <v>1164899</v>
      </c>
      <c r="I33" s="15">
        <v>1166466</v>
      </c>
      <c r="J33" s="15">
        <v>1194055</v>
      </c>
      <c r="K33" s="15">
        <v>1224052</v>
      </c>
      <c r="L33" s="15">
        <v>1223392</v>
      </c>
      <c r="M33" s="15">
        <v>1257247</v>
      </c>
      <c r="N33" s="15">
        <v>1222587</v>
      </c>
      <c r="O33" s="15">
        <v>1216620</v>
      </c>
      <c r="P33" s="15">
        <v>1231092</v>
      </c>
    </row>
    <row r="34" spans="1:253" hidden="1">
      <c r="IS34" s="2">
        <v>0</v>
      </c>
    </row>
    <row r="35" spans="1:253" hidden="1"/>
    <row r="36" spans="1:253" hidden="1">
      <c r="C36" s="1" t="s">
        <v>7</v>
      </c>
      <c r="D36" s="1"/>
      <c r="E36" s="1"/>
      <c r="F36" s="41">
        <f>+F8+F21+1</f>
        <v>5593748</v>
      </c>
      <c r="G36" s="41">
        <f t="shared" ref="G36:P36" si="6">+G8+G21</f>
        <v>5325285</v>
      </c>
      <c r="H36" s="41">
        <f t="shared" si="6"/>
        <v>5281480</v>
      </c>
      <c r="I36" s="41">
        <f t="shared" si="6"/>
        <v>5308788</v>
      </c>
      <c r="J36" s="41">
        <f t="shared" si="6"/>
        <v>5364061</v>
      </c>
      <c r="K36" s="41">
        <f t="shared" si="6"/>
        <v>5451328</v>
      </c>
      <c r="L36" s="41">
        <f t="shared" si="6"/>
        <v>5460768</v>
      </c>
      <c r="M36" s="41">
        <f t="shared" si="6"/>
        <v>5642526</v>
      </c>
      <c r="N36" s="41">
        <f t="shared" si="6"/>
        <v>5609665</v>
      </c>
      <c r="O36" s="41">
        <f t="shared" si="6"/>
        <v>5648558</v>
      </c>
      <c r="P36" s="41">
        <f t="shared" si="6"/>
        <v>5675248</v>
      </c>
    </row>
    <row r="37" spans="1:253" hidden="1">
      <c r="A37" s="8"/>
      <c r="B37" s="9"/>
      <c r="C37" s="9"/>
      <c r="D37" s="9"/>
    </row>
    <row r="38" spans="1:253" hidden="1">
      <c r="A38" s="2" t="s">
        <v>11</v>
      </c>
    </row>
    <row r="39" spans="1:253" hidden="1">
      <c r="A39" s="1"/>
    </row>
    <row r="40" spans="1:253" s="11" customFormat="1" hidden="1">
      <c r="A40" s="10" t="s">
        <v>8</v>
      </c>
      <c r="B40" s="10"/>
      <c r="C40" s="10"/>
      <c r="D40" s="10"/>
      <c r="E40" s="10"/>
      <c r="F40" s="71">
        <v>45.2</v>
      </c>
      <c r="G40" s="71">
        <v>40.700000000000003</v>
      </c>
      <c r="H40" s="71">
        <v>41.05</v>
      </c>
      <c r="I40" s="71">
        <v>41.15</v>
      </c>
      <c r="J40" s="71">
        <v>42.3</v>
      </c>
      <c r="K40" s="71">
        <v>43.45</v>
      </c>
      <c r="L40" s="71">
        <v>43.4</v>
      </c>
      <c r="M40" s="71">
        <v>44.75</v>
      </c>
      <c r="N40" s="71">
        <v>43.35</v>
      </c>
      <c r="O40" s="71">
        <v>43.1</v>
      </c>
      <c r="P40" s="71">
        <v>43.75</v>
      </c>
    </row>
    <row r="41" spans="1:253" s="11" customFormat="1" hidden="1">
      <c r="A41" s="10"/>
      <c r="B41" s="10"/>
      <c r="C41" s="10"/>
      <c r="D41" s="10"/>
      <c r="E41" s="10"/>
    </row>
    <row r="42" spans="1:253" s="11" customFormat="1" hidden="1">
      <c r="A42" s="10"/>
      <c r="B42" s="10"/>
      <c r="C42" s="10"/>
      <c r="D42" s="10"/>
      <c r="E42" s="10"/>
    </row>
    <row r="43" spans="1:253" hidden="1">
      <c r="A43" s="11" t="s">
        <v>22</v>
      </c>
    </row>
    <row r="44" spans="1:253" hidden="1">
      <c r="A44" s="11"/>
    </row>
    <row r="45" spans="1:253" hidden="1">
      <c r="A45" s="48"/>
      <c r="E45" s="11"/>
    </row>
    <row r="46" spans="1:253" hidden="1">
      <c r="A46" s="12"/>
      <c r="E46" s="11"/>
    </row>
    <row r="47" spans="1:253" hidden="1">
      <c r="A47" s="12"/>
      <c r="E47" s="11"/>
    </row>
    <row r="48" spans="1:253" hidden="1">
      <c r="A48" s="12"/>
      <c r="E48" s="11"/>
    </row>
    <row r="49" spans="1:19" hidden="1">
      <c r="A49" s="12"/>
      <c r="E49" s="11"/>
    </row>
    <row r="50" spans="1:19" hidden="1">
      <c r="A50" s="12"/>
      <c r="E50" s="11"/>
    </row>
    <row r="51" spans="1:19" hidden="1">
      <c r="A51" s="12"/>
      <c r="E51" s="11"/>
    </row>
    <row r="52" spans="1:19" hidden="1">
      <c r="A52" s="12"/>
      <c r="E52" s="11"/>
    </row>
    <row r="53" spans="1:19" hidden="1">
      <c r="A53" s="12"/>
      <c r="E53" s="11"/>
    </row>
    <row r="54" spans="1:19" hidden="1">
      <c r="A54" s="12"/>
      <c r="E54" s="11"/>
    </row>
    <row r="55" spans="1:19" hidden="1">
      <c r="A55" s="12"/>
      <c r="E55" s="11"/>
    </row>
    <row r="56" spans="1:19" hidden="1">
      <c r="A56" s="12"/>
      <c r="E56" s="11"/>
    </row>
    <row r="57" spans="1:19" hidden="1">
      <c r="A57" s="12"/>
      <c r="E57" s="11"/>
    </row>
    <row r="58" spans="1:19" hidden="1">
      <c r="A58" s="12"/>
      <c r="E58" s="11"/>
    </row>
    <row r="59" spans="1:19" hidden="1">
      <c r="A59" s="12"/>
      <c r="E59" s="11"/>
    </row>
    <row r="60" spans="1:19" hidden="1">
      <c r="A60" s="12"/>
      <c r="E60" s="11"/>
    </row>
    <row r="61" spans="1:19">
      <c r="A61" s="19" t="s">
        <v>138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19">
      <c r="A62" s="19" t="s">
        <v>175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</row>
    <row r="63" spans="1:19">
      <c r="A63" s="4" t="s">
        <v>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9" ht="15" customHeight="1">
      <c r="A64" s="73"/>
      <c r="B64" s="73"/>
      <c r="C64" s="73"/>
      <c r="D64" s="73"/>
      <c r="E64" s="73"/>
      <c r="F64" s="73"/>
    </row>
    <row r="65" spans="1:19" ht="19.5" customHeight="1">
      <c r="A65" s="187" t="s">
        <v>1</v>
      </c>
      <c r="B65" s="187"/>
      <c r="C65" s="187"/>
      <c r="D65" s="187"/>
      <c r="E65" s="187"/>
      <c r="F65" s="163" t="s">
        <v>5</v>
      </c>
      <c r="G65" s="163" t="s">
        <v>23</v>
      </c>
      <c r="H65" s="163" t="s">
        <v>24</v>
      </c>
      <c r="I65" s="163" t="s">
        <v>26</v>
      </c>
      <c r="J65" s="163" t="s">
        <v>27</v>
      </c>
      <c r="K65" s="163" t="s">
        <v>34</v>
      </c>
      <c r="L65" s="163" t="s">
        <v>28</v>
      </c>
      <c r="M65" s="163" t="s">
        <v>29</v>
      </c>
      <c r="N65" s="163" t="s">
        <v>30</v>
      </c>
      <c r="O65" s="163" t="s">
        <v>31</v>
      </c>
      <c r="P65" s="163" t="s">
        <v>32</v>
      </c>
      <c r="Q65" s="163" t="s">
        <v>32</v>
      </c>
      <c r="R65" s="163" t="s">
        <v>33</v>
      </c>
    </row>
    <row r="66" spans="1:19">
      <c r="I66" s="2" t="s">
        <v>35</v>
      </c>
    </row>
    <row r="67" spans="1:19">
      <c r="A67" s="1" t="s">
        <v>17</v>
      </c>
      <c r="B67" s="1"/>
      <c r="C67" s="1"/>
      <c r="D67" s="1"/>
      <c r="E67" s="1"/>
      <c r="F67" s="13">
        <f>+F69+F76</f>
        <v>479485</v>
      </c>
      <c r="G67" s="13">
        <f t="shared" ref="G67:P67" si="7">+G69+G76</f>
        <v>474408</v>
      </c>
      <c r="H67" s="13">
        <f t="shared" si="7"/>
        <v>471415</v>
      </c>
      <c r="I67" s="13">
        <f t="shared" si="7"/>
        <v>468128</v>
      </c>
      <c r="J67" s="13">
        <f t="shared" si="7"/>
        <v>464485</v>
      </c>
      <c r="K67" s="13">
        <f t="shared" si="7"/>
        <v>462246</v>
      </c>
      <c r="L67" s="13">
        <f t="shared" si="7"/>
        <v>456887</v>
      </c>
      <c r="M67" s="13">
        <f t="shared" si="7"/>
        <v>457226</v>
      </c>
      <c r="N67" s="13">
        <f t="shared" si="7"/>
        <v>456348</v>
      </c>
      <c r="O67" s="13">
        <f t="shared" si="7"/>
        <v>446356</v>
      </c>
      <c r="P67" s="13">
        <f t="shared" si="7"/>
        <v>471093</v>
      </c>
      <c r="Q67" s="13">
        <f>+Q69+Q76</f>
        <v>432222</v>
      </c>
      <c r="R67" s="13">
        <f>+R69+R76</f>
        <v>551072</v>
      </c>
    </row>
    <row r="68" spans="1:19">
      <c r="A68" s="1"/>
      <c r="B68" s="1"/>
      <c r="C68" s="1"/>
      <c r="D68" s="1"/>
      <c r="E68" s="1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1:19">
      <c r="A69" s="1"/>
      <c r="B69" s="1" t="s">
        <v>18</v>
      </c>
      <c r="C69" s="1"/>
      <c r="D69" s="1"/>
      <c r="E69" s="1"/>
      <c r="F69" s="13">
        <f>+F71+F72</f>
        <v>131431</v>
      </c>
      <c r="G69" s="13">
        <f t="shared" ref="G69:P69" si="8">+G71+G72</f>
        <v>131244</v>
      </c>
      <c r="H69" s="13">
        <f t="shared" si="8"/>
        <v>131244</v>
      </c>
      <c r="I69" s="13">
        <f t="shared" si="8"/>
        <v>131244</v>
      </c>
      <c r="J69" s="13">
        <f t="shared" si="8"/>
        <v>131018</v>
      </c>
      <c r="K69" s="13">
        <f t="shared" si="8"/>
        <v>131019</v>
      </c>
      <c r="L69" s="13">
        <f t="shared" si="8"/>
        <v>131019</v>
      </c>
      <c r="M69" s="13">
        <f t="shared" si="8"/>
        <v>130794</v>
      </c>
      <c r="N69" s="13">
        <f t="shared" si="8"/>
        <v>130794</v>
      </c>
      <c r="O69" s="13">
        <f t="shared" si="8"/>
        <v>121794</v>
      </c>
      <c r="P69" s="13">
        <f t="shared" si="8"/>
        <v>131431</v>
      </c>
      <c r="Q69" s="13">
        <f>+Q71+Q72</f>
        <v>118294</v>
      </c>
      <c r="R69" s="13">
        <f>+R71+R72</f>
        <v>242937</v>
      </c>
    </row>
    <row r="70" spans="1:19">
      <c r="A70" s="1"/>
      <c r="B70" s="1"/>
      <c r="C70" s="1"/>
      <c r="D70" s="1"/>
      <c r="E70" s="1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9" ht="19.5">
      <c r="C71" s="2" t="s">
        <v>167</v>
      </c>
      <c r="F71" s="15">
        <v>131295</v>
      </c>
      <c r="G71" s="15">
        <v>131108</v>
      </c>
      <c r="H71" s="15">
        <v>131108</v>
      </c>
      <c r="I71" s="15">
        <v>131108</v>
      </c>
      <c r="J71" s="15">
        <v>130882</v>
      </c>
      <c r="K71" s="15">
        <v>130883</v>
      </c>
      <c r="L71" s="15">
        <v>130883</v>
      </c>
      <c r="M71" s="15">
        <v>130658</v>
      </c>
      <c r="N71" s="15">
        <v>130658</v>
      </c>
      <c r="O71" s="15">
        <v>121658</v>
      </c>
      <c r="P71" s="15">
        <v>131295</v>
      </c>
      <c r="Q71" s="15">
        <v>118158</v>
      </c>
      <c r="R71" s="15">
        <f>117933+124868</f>
        <v>242801</v>
      </c>
      <c r="S71" s="159" t="s">
        <v>176</v>
      </c>
    </row>
    <row r="72" spans="1:19">
      <c r="C72" s="2" t="s">
        <v>19</v>
      </c>
      <c r="F72" s="14">
        <f>+F73+F74</f>
        <v>136</v>
      </c>
      <c r="G72" s="14">
        <f t="shared" ref="G72:P72" si="9">+G73+G74</f>
        <v>136</v>
      </c>
      <c r="H72" s="14">
        <f t="shared" si="9"/>
        <v>136</v>
      </c>
      <c r="I72" s="14">
        <f t="shared" si="9"/>
        <v>136</v>
      </c>
      <c r="J72" s="14">
        <f t="shared" si="9"/>
        <v>136</v>
      </c>
      <c r="K72" s="14">
        <f t="shared" si="9"/>
        <v>136</v>
      </c>
      <c r="L72" s="14">
        <f t="shared" si="9"/>
        <v>136</v>
      </c>
      <c r="M72" s="14">
        <f t="shared" si="9"/>
        <v>136</v>
      </c>
      <c r="N72" s="14">
        <f t="shared" si="9"/>
        <v>136</v>
      </c>
      <c r="O72" s="14">
        <f t="shared" si="9"/>
        <v>136</v>
      </c>
      <c r="P72" s="14">
        <f t="shared" si="9"/>
        <v>136</v>
      </c>
      <c r="Q72" s="14">
        <f>+Q73+Q74</f>
        <v>136</v>
      </c>
      <c r="R72" s="14">
        <f>+R73+R74</f>
        <v>136</v>
      </c>
    </row>
    <row r="73" spans="1:19">
      <c r="D73" s="2" t="s">
        <v>20</v>
      </c>
      <c r="F73" s="15">
        <v>37</v>
      </c>
      <c r="G73" s="15">
        <v>37</v>
      </c>
      <c r="H73" s="15">
        <v>37</v>
      </c>
      <c r="I73" s="15">
        <v>37</v>
      </c>
      <c r="J73" s="15">
        <v>37</v>
      </c>
      <c r="K73" s="15">
        <v>37</v>
      </c>
      <c r="L73" s="15">
        <v>37</v>
      </c>
      <c r="M73" s="15">
        <v>37</v>
      </c>
      <c r="N73" s="15">
        <v>37</v>
      </c>
      <c r="O73" s="15">
        <v>37</v>
      </c>
      <c r="P73" s="15">
        <v>37</v>
      </c>
      <c r="Q73" s="15">
        <v>37</v>
      </c>
      <c r="R73" s="15">
        <v>37</v>
      </c>
    </row>
    <row r="74" spans="1:19">
      <c r="D74" s="2" t="s">
        <v>15</v>
      </c>
      <c r="F74" s="15">
        <v>99</v>
      </c>
      <c r="G74" s="15">
        <v>99</v>
      </c>
      <c r="H74" s="15">
        <v>99</v>
      </c>
      <c r="I74" s="15">
        <v>99</v>
      </c>
      <c r="J74" s="15">
        <v>99</v>
      </c>
      <c r="K74" s="15">
        <v>99</v>
      </c>
      <c r="L74" s="15">
        <v>99</v>
      </c>
      <c r="M74" s="15">
        <v>99</v>
      </c>
      <c r="N74" s="15">
        <v>99</v>
      </c>
      <c r="O74" s="15">
        <v>99</v>
      </c>
      <c r="P74" s="15">
        <v>99</v>
      </c>
      <c r="Q74" s="15">
        <v>99</v>
      </c>
      <c r="R74" s="15">
        <v>99</v>
      </c>
    </row>
    <row r="75" spans="1:19"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spans="1:19">
      <c r="A76" s="1"/>
      <c r="B76" s="1" t="s">
        <v>168</v>
      </c>
      <c r="C76" s="1"/>
      <c r="D76" s="1"/>
      <c r="E76" s="1"/>
      <c r="F76" s="13">
        <f>+F78+F79</f>
        <v>348054</v>
      </c>
      <c r="G76" s="13">
        <f t="shared" ref="G76:P76" si="10">+G78+G79</f>
        <v>343164</v>
      </c>
      <c r="H76" s="13">
        <f t="shared" si="10"/>
        <v>340171</v>
      </c>
      <c r="I76" s="13">
        <f t="shared" si="10"/>
        <v>336884</v>
      </c>
      <c r="J76" s="13">
        <f t="shared" si="10"/>
        <v>333467</v>
      </c>
      <c r="K76" s="13">
        <f t="shared" si="10"/>
        <v>331227</v>
      </c>
      <c r="L76" s="13">
        <f t="shared" si="10"/>
        <v>325868</v>
      </c>
      <c r="M76" s="13">
        <f t="shared" si="10"/>
        <v>326432</v>
      </c>
      <c r="N76" s="13">
        <f t="shared" si="10"/>
        <v>325554</v>
      </c>
      <c r="O76" s="13">
        <f t="shared" si="10"/>
        <v>324562</v>
      </c>
      <c r="P76" s="13">
        <f t="shared" si="10"/>
        <v>339662</v>
      </c>
      <c r="Q76" s="13">
        <f>+Q78+Q79</f>
        <v>313928</v>
      </c>
      <c r="R76" s="13">
        <f>+R78+R79</f>
        <v>308135</v>
      </c>
    </row>
    <row r="77" spans="1:19">
      <c r="A77" s="1"/>
      <c r="B77" s="1"/>
      <c r="C77" s="1"/>
      <c r="D77" s="1"/>
      <c r="E77" s="1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1:19">
      <c r="C78" s="2" t="s">
        <v>167</v>
      </c>
      <c r="F78" s="15">
        <v>344183</v>
      </c>
      <c r="G78" s="15">
        <v>339340</v>
      </c>
      <c r="H78" s="15">
        <v>336326</v>
      </c>
      <c r="I78" s="15">
        <v>333073</v>
      </c>
      <c r="J78" s="15">
        <v>329707</v>
      </c>
      <c r="K78" s="15">
        <v>327480</v>
      </c>
      <c r="L78" s="15">
        <v>322151</v>
      </c>
      <c r="M78" s="15">
        <v>322690</v>
      </c>
      <c r="N78" s="15">
        <v>321702</v>
      </c>
      <c r="O78" s="15">
        <v>320719</v>
      </c>
      <c r="P78" s="15">
        <v>335915</v>
      </c>
      <c r="Q78" s="15">
        <v>310089</v>
      </c>
      <c r="R78" s="15">
        <v>304310</v>
      </c>
    </row>
    <row r="79" spans="1:19">
      <c r="C79" s="2" t="s">
        <v>19</v>
      </c>
      <c r="F79" s="14">
        <f>SUM(F80:F83)</f>
        <v>3871</v>
      </c>
      <c r="G79" s="14">
        <f t="shared" ref="G79:P79" si="11">SUM(G80:G83)</f>
        <v>3824</v>
      </c>
      <c r="H79" s="14">
        <f t="shared" si="11"/>
        <v>3845</v>
      </c>
      <c r="I79" s="14">
        <f t="shared" si="11"/>
        <v>3811</v>
      </c>
      <c r="J79" s="14">
        <f t="shared" si="11"/>
        <v>3760</v>
      </c>
      <c r="K79" s="14">
        <f t="shared" si="11"/>
        <v>3747</v>
      </c>
      <c r="L79" s="14">
        <f t="shared" si="11"/>
        <v>3717</v>
      </c>
      <c r="M79" s="14">
        <f t="shared" si="11"/>
        <v>3742</v>
      </c>
      <c r="N79" s="14">
        <f t="shared" si="11"/>
        <v>3852</v>
      </c>
      <c r="O79" s="14">
        <f t="shared" si="11"/>
        <v>3843</v>
      </c>
      <c r="P79" s="14">
        <f t="shared" si="11"/>
        <v>3747</v>
      </c>
      <c r="Q79" s="14">
        <f>SUM(Q80:Q83)</f>
        <v>3839</v>
      </c>
      <c r="R79" s="14">
        <f>SUM(R80:R83)</f>
        <v>3825</v>
      </c>
    </row>
    <row r="80" spans="1:19">
      <c r="D80" s="2" t="s">
        <v>12</v>
      </c>
      <c r="F80" s="15">
        <v>3835</v>
      </c>
      <c r="G80" s="15">
        <v>3789</v>
      </c>
      <c r="H80" s="15">
        <v>3810</v>
      </c>
      <c r="I80" s="15">
        <v>3776</v>
      </c>
      <c r="J80" s="15">
        <v>3725</v>
      </c>
      <c r="K80" s="15">
        <v>3712</v>
      </c>
      <c r="L80" s="15">
        <v>3683</v>
      </c>
      <c r="M80" s="15">
        <v>3708</v>
      </c>
      <c r="N80" s="15">
        <v>3818</v>
      </c>
      <c r="O80" s="15">
        <v>3808</v>
      </c>
      <c r="P80" s="15">
        <v>3713</v>
      </c>
      <c r="Q80" s="15">
        <v>3804</v>
      </c>
      <c r="R80" s="15">
        <v>3790</v>
      </c>
    </row>
    <row r="81" spans="1:18">
      <c r="D81" s="2" t="s">
        <v>13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</row>
    <row r="82" spans="1:18">
      <c r="D82" s="2" t="s">
        <v>21</v>
      </c>
      <c r="F82" s="15">
        <v>36</v>
      </c>
      <c r="G82" s="15">
        <v>35</v>
      </c>
      <c r="H82" s="15">
        <v>35</v>
      </c>
      <c r="I82" s="15">
        <v>35</v>
      </c>
      <c r="J82" s="15">
        <v>35</v>
      </c>
      <c r="K82" s="15">
        <v>35</v>
      </c>
      <c r="L82" s="15">
        <v>34</v>
      </c>
      <c r="M82" s="15">
        <v>34</v>
      </c>
      <c r="N82" s="15">
        <v>34</v>
      </c>
      <c r="O82" s="15">
        <v>35</v>
      </c>
      <c r="P82" s="15">
        <v>34</v>
      </c>
      <c r="Q82" s="15">
        <v>35</v>
      </c>
      <c r="R82" s="15">
        <v>35</v>
      </c>
    </row>
    <row r="83" spans="1:18">
      <c r="D83" s="2" t="s">
        <v>15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</row>
    <row r="86" spans="1:18">
      <c r="A86" s="8"/>
      <c r="B86" s="9"/>
      <c r="C86" s="9"/>
      <c r="D86" s="9"/>
    </row>
    <row r="87" spans="1:18">
      <c r="A87" s="2" t="s">
        <v>11</v>
      </c>
    </row>
    <row r="89" spans="1:18" hidden="1">
      <c r="A89" s="8"/>
      <c r="B89" s="9"/>
      <c r="C89" s="9"/>
      <c r="D89" s="9"/>
    </row>
    <row r="90" spans="1:18" hidden="1">
      <c r="A90" s="2" t="s">
        <v>11</v>
      </c>
    </row>
    <row r="91" spans="1:18" hidden="1"/>
    <row r="92" spans="1:18" hidden="1"/>
    <row r="93" spans="1:18" hidden="1"/>
    <row r="94" spans="1:18" hidden="1"/>
    <row r="95" spans="1:18" hidden="1"/>
    <row r="96" spans="1:18" hidden="1"/>
    <row r="97" spans="1:2" hidden="1"/>
    <row r="98" spans="1:2" hidden="1"/>
    <row r="99" spans="1:2" hidden="1"/>
    <row r="100" spans="1:2" hidden="1"/>
    <row r="101" spans="1:2" hidden="1"/>
    <row r="102" spans="1:2" hidden="1"/>
    <row r="103" spans="1:2">
      <c r="A103" s="2" t="s">
        <v>176</v>
      </c>
      <c r="B103" s="2" t="s">
        <v>179</v>
      </c>
    </row>
  </sheetData>
  <mergeCells count="4">
    <mergeCell ref="A65:E65"/>
    <mergeCell ref="A2:R2"/>
    <mergeCell ref="A3:R3"/>
    <mergeCell ref="A6:E6"/>
  </mergeCells>
  <pageMargins left="0.23622047244094491" right="0.15748031496062992" top="0.74803149606299213" bottom="0" header="0" footer="0"/>
  <pageSetup paperSize="9" scale="8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>
    <pageSetUpPr fitToPage="1"/>
  </sheetPr>
  <dimension ref="A1:S101"/>
  <sheetViews>
    <sheetView workbookViewId="0">
      <pane xSplit="5" ySplit="5" topLeftCell="F6" activePane="bottomRight" state="frozen"/>
      <selection pane="topRight" activeCell="F1" sqref="F1"/>
      <selection pane="bottomLeft" activeCell="A8" sqref="A8"/>
      <selection pane="bottomRight" activeCell="A5" sqref="A5:Q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6.140625" style="2" customWidth="1"/>
    <col min="6" max="17" width="10.140625" style="2" bestFit="1" customWidth="1"/>
    <col min="18" max="18" width="9.140625" style="2" customWidth="1"/>
    <col min="19" max="16384" width="9.140625" style="2"/>
  </cols>
  <sheetData>
    <row r="1" spans="1:19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9">
      <c r="A2" s="19" t="s">
        <v>51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9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9" ht="12" customHeight="1">
      <c r="A4" s="4"/>
      <c r="I4" s="70"/>
    </row>
    <row r="5" spans="1:19" ht="21" customHeight="1">
      <c r="A5" s="186" t="s">
        <v>1</v>
      </c>
      <c r="B5" s="187"/>
      <c r="C5" s="187"/>
      <c r="D5" s="187"/>
      <c r="E5" s="187"/>
      <c r="F5" s="163" t="s">
        <v>5</v>
      </c>
      <c r="G5" s="163" t="s">
        <v>23</v>
      </c>
      <c r="H5" s="163" t="s">
        <v>24</v>
      </c>
      <c r="I5" s="163" t="s">
        <v>26</v>
      </c>
      <c r="J5" s="163" t="s">
        <v>27</v>
      </c>
      <c r="K5" s="163" t="s">
        <v>34</v>
      </c>
      <c r="L5" s="163" t="s">
        <v>28</v>
      </c>
      <c r="M5" s="163" t="s">
        <v>29</v>
      </c>
      <c r="N5" s="163" t="s">
        <v>30</v>
      </c>
      <c r="O5" s="163" t="s">
        <v>31</v>
      </c>
      <c r="P5" s="163" t="s">
        <v>32</v>
      </c>
      <c r="Q5" s="163" t="s">
        <v>33</v>
      </c>
    </row>
    <row r="6" spans="1:19" ht="9" customHeight="1">
      <c r="A6" s="46"/>
      <c r="B6" s="46"/>
      <c r="C6" s="46"/>
      <c r="D6" s="46"/>
      <c r="E6" s="46"/>
      <c r="F6" s="47"/>
    </row>
    <row r="7" spans="1:19" ht="14.25" customHeight="1">
      <c r="A7" s="1" t="s">
        <v>6</v>
      </c>
      <c r="B7" s="1"/>
      <c r="C7" s="1"/>
      <c r="D7" s="1"/>
      <c r="E7" s="1"/>
      <c r="F7" s="13">
        <v>3411095</v>
      </c>
      <c r="G7" s="13">
        <v>3448346</v>
      </c>
      <c r="H7" s="13">
        <v>3406134</v>
      </c>
      <c r="I7" s="13">
        <v>3438919</v>
      </c>
      <c r="J7" s="13">
        <v>3461357</v>
      </c>
      <c r="K7" s="13">
        <v>3501790</v>
      </c>
      <c r="L7" s="13">
        <v>3499788</v>
      </c>
      <c r="M7" s="13">
        <v>3647850</v>
      </c>
      <c r="N7" s="13">
        <v>3677568</v>
      </c>
      <c r="O7" s="13">
        <v>3727189</v>
      </c>
      <c r="P7" s="13">
        <v>3744754</v>
      </c>
      <c r="Q7" s="13">
        <v>3733422</v>
      </c>
    </row>
    <row r="8" spans="1:19">
      <c r="A8" s="1"/>
      <c r="B8" s="1" t="s">
        <v>37</v>
      </c>
      <c r="C8" s="1"/>
      <c r="D8" s="1"/>
      <c r="E8" s="1"/>
      <c r="F8" s="13">
        <v>2450</v>
      </c>
      <c r="G8" s="13">
        <v>2450</v>
      </c>
      <c r="H8" s="13">
        <v>2450</v>
      </c>
      <c r="I8" s="13">
        <v>2450</v>
      </c>
      <c r="J8" s="13">
        <v>2450</v>
      </c>
      <c r="K8" s="13">
        <v>598</v>
      </c>
      <c r="L8" s="13">
        <v>598</v>
      </c>
      <c r="M8" s="13">
        <v>598</v>
      </c>
      <c r="N8" s="13">
        <v>598</v>
      </c>
      <c r="O8" s="13">
        <v>598</v>
      </c>
      <c r="P8" s="13">
        <v>598</v>
      </c>
      <c r="Q8" s="13">
        <v>598</v>
      </c>
    </row>
    <row r="9" spans="1:19">
      <c r="C9" s="2" t="s">
        <v>10</v>
      </c>
      <c r="F9" s="14">
        <v>156</v>
      </c>
      <c r="G9" s="14">
        <v>156</v>
      </c>
      <c r="H9" s="14">
        <v>156</v>
      </c>
      <c r="I9" s="14">
        <v>156</v>
      </c>
      <c r="J9" s="14">
        <v>156</v>
      </c>
      <c r="K9" s="14">
        <v>156</v>
      </c>
      <c r="L9" s="14">
        <v>156</v>
      </c>
      <c r="M9" s="14">
        <v>156</v>
      </c>
      <c r="N9" s="14">
        <v>156</v>
      </c>
      <c r="O9" s="14">
        <v>156</v>
      </c>
      <c r="P9" s="14">
        <v>156</v>
      </c>
      <c r="Q9" s="14">
        <v>156</v>
      </c>
      <c r="S9" s="15"/>
    </row>
    <row r="10" spans="1:19">
      <c r="D10" s="2" t="s">
        <v>2</v>
      </c>
      <c r="F10" s="15">
        <v>156</v>
      </c>
      <c r="G10" s="15">
        <v>156</v>
      </c>
      <c r="H10" s="15">
        <v>156</v>
      </c>
      <c r="I10" s="15">
        <v>156</v>
      </c>
      <c r="J10" s="15">
        <v>156</v>
      </c>
      <c r="K10" s="15">
        <v>156</v>
      </c>
      <c r="L10" s="15">
        <v>156</v>
      </c>
      <c r="M10" s="15">
        <v>156</v>
      </c>
      <c r="N10" s="15">
        <v>156</v>
      </c>
      <c r="O10" s="15">
        <v>156</v>
      </c>
      <c r="P10" s="15">
        <v>156</v>
      </c>
      <c r="Q10" s="15">
        <v>156</v>
      </c>
    </row>
    <row r="11" spans="1:19">
      <c r="D11" s="2" t="s">
        <v>3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</row>
    <row r="12" spans="1:19">
      <c r="C12" s="2" t="s">
        <v>4</v>
      </c>
      <c r="F12" s="14">
        <v>2294</v>
      </c>
      <c r="G12" s="14">
        <v>2294</v>
      </c>
      <c r="H12" s="14">
        <v>2294</v>
      </c>
      <c r="I12" s="14">
        <v>2294</v>
      </c>
      <c r="J12" s="14">
        <v>2294</v>
      </c>
      <c r="K12" s="14">
        <v>442</v>
      </c>
      <c r="L12" s="14">
        <v>442</v>
      </c>
      <c r="M12" s="14">
        <v>442</v>
      </c>
      <c r="N12" s="14">
        <v>442</v>
      </c>
      <c r="O12" s="14">
        <v>442</v>
      </c>
      <c r="P12" s="14">
        <v>442</v>
      </c>
      <c r="Q12" s="14">
        <v>442</v>
      </c>
    </row>
    <row r="13" spans="1:19" hidden="1">
      <c r="D13" s="2" t="s">
        <v>12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</row>
    <row r="14" spans="1:19">
      <c r="D14" s="2" t="s">
        <v>13</v>
      </c>
      <c r="F14" s="15">
        <v>2288</v>
      </c>
      <c r="G14" s="15">
        <v>2288</v>
      </c>
      <c r="H14" s="15">
        <v>2288</v>
      </c>
      <c r="I14" s="15">
        <v>2288</v>
      </c>
      <c r="J14" s="15">
        <v>2288</v>
      </c>
      <c r="K14" s="15">
        <v>442</v>
      </c>
      <c r="L14" s="15">
        <v>442</v>
      </c>
      <c r="M14" s="15">
        <v>442</v>
      </c>
      <c r="N14" s="15">
        <v>442</v>
      </c>
      <c r="O14" s="15">
        <v>442</v>
      </c>
      <c r="P14" s="15">
        <v>442</v>
      </c>
      <c r="Q14" s="15">
        <v>442</v>
      </c>
    </row>
    <row r="15" spans="1:19" hidden="1">
      <c r="D15" s="2" t="s">
        <v>14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</row>
    <row r="16" spans="1:19">
      <c r="D16" s="2" t="s">
        <v>15</v>
      </c>
      <c r="F16" s="15">
        <v>6</v>
      </c>
      <c r="G16" s="15">
        <v>6</v>
      </c>
      <c r="H16" s="15">
        <v>6</v>
      </c>
      <c r="I16" s="15">
        <v>6</v>
      </c>
      <c r="J16" s="15">
        <v>6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</row>
    <row r="17" spans="1:17"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s="1" customFormat="1" ht="15" customHeight="1">
      <c r="B18" s="1" t="s">
        <v>38</v>
      </c>
      <c r="F18" s="16">
        <v>3408645</v>
      </c>
      <c r="G18" s="16">
        <v>3445896</v>
      </c>
      <c r="H18" s="16">
        <v>3403684</v>
      </c>
      <c r="I18" s="16">
        <v>3436469</v>
      </c>
      <c r="J18" s="16">
        <v>3458907</v>
      </c>
      <c r="K18" s="16">
        <v>3501192</v>
      </c>
      <c r="L18" s="16">
        <v>3499190</v>
      </c>
      <c r="M18" s="16">
        <v>3647252</v>
      </c>
      <c r="N18" s="16">
        <v>3676970</v>
      </c>
      <c r="O18" s="16">
        <v>3726591</v>
      </c>
      <c r="P18" s="16">
        <v>3744156</v>
      </c>
      <c r="Q18" s="16">
        <v>3732824</v>
      </c>
    </row>
    <row r="19" spans="1:17"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5" customHeight="1">
      <c r="A20" s="1" t="s">
        <v>41</v>
      </c>
      <c r="B20" s="1"/>
      <c r="C20" s="1"/>
      <c r="D20" s="1"/>
      <c r="E20" s="1"/>
      <c r="F20" s="13">
        <v>1923385</v>
      </c>
      <c r="G20" s="13">
        <v>1876939</v>
      </c>
      <c r="H20" s="13">
        <v>1875346</v>
      </c>
      <c r="I20" s="13">
        <v>1869869</v>
      </c>
      <c r="J20" s="13">
        <v>1902704</v>
      </c>
      <c r="K20" s="13">
        <v>1949537</v>
      </c>
      <c r="L20" s="13">
        <v>1960980</v>
      </c>
      <c r="M20" s="13">
        <v>1994676</v>
      </c>
      <c r="N20" s="13">
        <v>1932097</v>
      </c>
      <c r="O20" s="13">
        <v>1921369</v>
      </c>
      <c r="P20" s="13">
        <v>1930494</v>
      </c>
      <c r="Q20" s="13">
        <v>1947731</v>
      </c>
    </row>
    <row r="21" spans="1:17">
      <c r="A21" s="1"/>
      <c r="B21" s="1" t="s">
        <v>37</v>
      </c>
      <c r="C21" s="1"/>
      <c r="D21" s="1"/>
      <c r="E21" s="1"/>
      <c r="F21" s="13">
        <v>734295</v>
      </c>
      <c r="G21" s="13">
        <v>719227</v>
      </c>
      <c r="H21" s="13">
        <v>710447</v>
      </c>
      <c r="I21" s="13">
        <v>703403</v>
      </c>
      <c r="J21" s="13">
        <v>708649</v>
      </c>
      <c r="K21" s="13">
        <v>725485</v>
      </c>
      <c r="L21" s="13">
        <v>737588</v>
      </c>
      <c r="M21" s="13">
        <v>737429</v>
      </c>
      <c r="N21" s="13">
        <v>709510</v>
      </c>
      <c r="O21" s="13">
        <v>704749</v>
      </c>
      <c r="P21" s="13">
        <v>699402</v>
      </c>
      <c r="Q21" s="13">
        <v>699852</v>
      </c>
    </row>
    <row r="22" spans="1:17" ht="15.75" customHeight="1">
      <c r="C22" s="2" t="s">
        <v>10</v>
      </c>
      <c r="F22" s="14">
        <v>734293</v>
      </c>
      <c r="G22" s="14">
        <v>719225</v>
      </c>
      <c r="H22" s="14">
        <v>710445</v>
      </c>
      <c r="I22" s="14">
        <v>703401</v>
      </c>
      <c r="J22" s="14">
        <v>708647</v>
      </c>
      <c r="K22" s="14">
        <v>725483</v>
      </c>
      <c r="L22" s="14">
        <v>737586</v>
      </c>
      <c r="M22" s="14">
        <v>737427</v>
      </c>
      <c r="N22" s="14">
        <v>709508</v>
      </c>
      <c r="O22" s="14">
        <v>704747</v>
      </c>
      <c r="P22" s="14">
        <v>699400</v>
      </c>
      <c r="Q22" s="14">
        <v>699852</v>
      </c>
    </row>
    <row r="23" spans="1:17">
      <c r="D23" s="2" t="s">
        <v>2</v>
      </c>
      <c r="F23" s="15">
        <v>687824</v>
      </c>
      <c r="G23" s="15">
        <v>673568</v>
      </c>
      <c r="H23" s="15">
        <v>665820</v>
      </c>
      <c r="I23" s="15">
        <v>660088</v>
      </c>
      <c r="J23" s="15">
        <v>665303</v>
      </c>
      <c r="K23" s="15">
        <v>680350</v>
      </c>
      <c r="L23" s="15">
        <v>694444</v>
      </c>
      <c r="M23" s="15">
        <v>693419</v>
      </c>
      <c r="N23" s="15">
        <v>667274</v>
      </c>
      <c r="O23" s="15">
        <v>663061</v>
      </c>
      <c r="P23" s="15">
        <v>658485</v>
      </c>
      <c r="Q23" s="15">
        <v>659465</v>
      </c>
    </row>
    <row r="24" spans="1:17">
      <c r="D24" s="2" t="s">
        <v>3</v>
      </c>
      <c r="F24" s="15">
        <v>46469</v>
      </c>
      <c r="G24" s="15">
        <v>45657</v>
      </c>
      <c r="H24" s="15">
        <v>44625</v>
      </c>
      <c r="I24" s="15">
        <v>43313</v>
      </c>
      <c r="J24" s="15">
        <v>43344</v>
      </c>
      <c r="K24" s="15">
        <v>45133</v>
      </c>
      <c r="L24" s="15">
        <v>43142</v>
      </c>
      <c r="M24" s="15">
        <v>44008</v>
      </c>
      <c r="N24" s="15">
        <v>42234</v>
      </c>
      <c r="O24" s="15">
        <v>41686</v>
      </c>
      <c r="P24" s="15">
        <v>40915</v>
      </c>
      <c r="Q24" s="15">
        <v>40387</v>
      </c>
    </row>
    <row r="25" spans="1:17">
      <c r="C25" s="2" t="s">
        <v>4</v>
      </c>
      <c r="F25" s="14">
        <v>2</v>
      </c>
      <c r="G25" s="14">
        <v>2</v>
      </c>
      <c r="H25" s="14">
        <v>2</v>
      </c>
      <c r="I25" s="14">
        <v>2</v>
      </c>
      <c r="J25" s="14">
        <v>2</v>
      </c>
      <c r="K25" s="14">
        <v>2</v>
      </c>
      <c r="L25" s="14">
        <v>2</v>
      </c>
      <c r="M25" s="14">
        <v>2</v>
      </c>
      <c r="N25" s="14">
        <v>2</v>
      </c>
      <c r="O25" s="14">
        <v>2</v>
      </c>
      <c r="P25" s="14">
        <v>2</v>
      </c>
      <c r="Q25" s="14">
        <v>0</v>
      </c>
    </row>
    <row r="26" spans="1:17" hidden="1">
      <c r="D26" s="2" t="s">
        <v>12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</row>
    <row r="27" spans="1:17" hidden="1">
      <c r="D27" s="2" t="s">
        <v>13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</row>
    <row r="28" spans="1:17" hidden="1">
      <c r="D28" s="2" t="s">
        <v>14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</row>
    <row r="29" spans="1:17">
      <c r="D29" s="2" t="s">
        <v>15</v>
      </c>
      <c r="F29" s="15">
        <v>2</v>
      </c>
      <c r="G29" s="15">
        <v>2</v>
      </c>
      <c r="H29" s="15">
        <v>2</v>
      </c>
      <c r="I29" s="15">
        <v>2</v>
      </c>
      <c r="J29" s="15">
        <v>2</v>
      </c>
      <c r="K29" s="15">
        <v>2</v>
      </c>
      <c r="L29" s="15">
        <v>2</v>
      </c>
      <c r="M29" s="15">
        <v>2</v>
      </c>
      <c r="N29" s="15">
        <v>2</v>
      </c>
      <c r="O29" s="15">
        <v>2</v>
      </c>
      <c r="P29" s="15">
        <v>2</v>
      </c>
      <c r="Q29" s="15">
        <v>0</v>
      </c>
    </row>
    <row r="30" spans="1:17" hidden="1">
      <c r="D30" s="2" t="s">
        <v>16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</row>
    <row r="31" spans="1:17" ht="11.25" customHeight="1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>
      <c r="B32" s="1" t="s">
        <v>38</v>
      </c>
      <c r="F32" s="15">
        <v>1189090</v>
      </c>
      <c r="G32" s="15">
        <v>1157712</v>
      </c>
      <c r="H32" s="15">
        <v>1164899</v>
      </c>
      <c r="I32" s="15">
        <v>1166466</v>
      </c>
      <c r="J32" s="15">
        <v>1194055</v>
      </c>
      <c r="K32" s="15">
        <v>1224052</v>
      </c>
      <c r="L32" s="15">
        <v>1223392</v>
      </c>
      <c r="M32" s="15">
        <v>1257247</v>
      </c>
      <c r="N32" s="15">
        <v>1222587</v>
      </c>
      <c r="O32" s="15">
        <v>1216620</v>
      </c>
      <c r="P32" s="15">
        <v>1231092</v>
      </c>
      <c r="Q32" s="15">
        <v>1247879</v>
      </c>
    </row>
    <row r="34" spans="1:17">
      <c r="C34" s="1" t="s">
        <v>7</v>
      </c>
      <c r="D34" s="1"/>
      <c r="E34" s="1"/>
      <c r="F34" s="41">
        <v>5334480</v>
      </c>
      <c r="G34" s="41">
        <v>5325285</v>
      </c>
      <c r="H34" s="41">
        <v>5281480</v>
      </c>
      <c r="I34" s="41">
        <v>5308788</v>
      </c>
      <c r="J34" s="41">
        <v>5364061</v>
      </c>
      <c r="K34" s="41">
        <v>5451327</v>
      </c>
      <c r="L34" s="41">
        <v>5460768</v>
      </c>
      <c r="M34" s="41">
        <v>5642526</v>
      </c>
      <c r="N34" s="41">
        <v>5609665</v>
      </c>
      <c r="O34" s="41">
        <v>5648558</v>
      </c>
      <c r="P34" s="41">
        <v>5675248</v>
      </c>
      <c r="Q34" s="41">
        <v>5681153</v>
      </c>
    </row>
    <row r="35" spans="1:17">
      <c r="A35" s="8"/>
      <c r="B35" s="9"/>
      <c r="C35" s="9"/>
      <c r="D35" s="9"/>
    </row>
    <row r="36" spans="1:17">
      <c r="A36" s="2" t="s">
        <v>11</v>
      </c>
    </row>
    <row r="37" spans="1:17">
      <c r="A37" s="1"/>
    </row>
    <row r="38" spans="1:17" s="11" customFormat="1">
      <c r="A38" s="10" t="s">
        <v>8</v>
      </c>
      <c r="B38" s="10"/>
      <c r="C38" s="10"/>
      <c r="D38" s="10"/>
      <c r="E38" s="10"/>
      <c r="F38" s="71">
        <v>40.6</v>
      </c>
      <c r="G38" s="71">
        <v>40.700000000000003</v>
      </c>
      <c r="H38" s="71">
        <v>41.05</v>
      </c>
      <c r="I38" s="71">
        <v>41.15</v>
      </c>
      <c r="J38" s="71">
        <v>42.3</v>
      </c>
      <c r="K38" s="71">
        <v>43.45</v>
      </c>
      <c r="L38" s="71">
        <v>43.4</v>
      </c>
      <c r="M38" s="71">
        <v>44.75</v>
      </c>
      <c r="N38" s="71">
        <v>43.35</v>
      </c>
      <c r="O38" s="71">
        <v>43.1</v>
      </c>
      <c r="P38" s="71">
        <v>43.75</v>
      </c>
      <c r="Q38" s="71">
        <v>44.45</v>
      </c>
    </row>
    <row r="39" spans="1:17" s="11" customFormat="1">
      <c r="A39" s="10"/>
      <c r="B39" s="10"/>
      <c r="C39" s="10"/>
      <c r="D39" s="10"/>
      <c r="E39" s="10"/>
    </row>
    <row r="40" spans="1:17" s="11" customFormat="1">
      <c r="A40" s="10"/>
      <c r="B40" s="10"/>
      <c r="C40" s="10"/>
      <c r="D40" s="10"/>
      <c r="E40" s="10"/>
    </row>
    <row r="41" spans="1:17">
      <c r="A41" s="11" t="s">
        <v>22</v>
      </c>
    </row>
    <row r="42" spans="1:17">
      <c r="A42" s="11"/>
    </row>
    <row r="43" spans="1:17">
      <c r="A43" s="48"/>
      <c r="E43" s="11"/>
    </row>
    <row r="44" spans="1:17">
      <c r="A44" s="12"/>
      <c r="E44" s="11"/>
    </row>
    <row r="45" spans="1:17">
      <c r="A45" s="12"/>
      <c r="E45" s="11"/>
    </row>
    <row r="46" spans="1:17">
      <c r="A46" s="12"/>
      <c r="E46" s="11"/>
    </row>
    <row r="47" spans="1:17">
      <c r="A47" s="12"/>
      <c r="E47" s="11"/>
    </row>
    <row r="48" spans="1:17">
      <c r="A48" s="12"/>
      <c r="E48" s="11"/>
    </row>
    <row r="49" spans="1:17">
      <c r="A49" s="12"/>
      <c r="E49" s="11"/>
    </row>
    <row r="50" spans="1:17">
      <c r="A50" s="12"/>
      <c r="E50" s="11"/>
    </row>
    <row r="51" spans="1:17">
      <c r="A51" s="12"/>
      <c r="E51" s="11"/>
    </row>
    <row r="52" spans="1:17">
      <c r="A52" s="12"/>
      <c r="E52" s="11"/>
    </row>
    <row r="53" spans="1:17">
      <c r="A53" s="12"/>
      <c r="E53" s="11"/>
    </row>
    <row r="54" spans="1:17">
      <c r="A54" s="12"/>
      <c r="E54" s="11"/>
    </row>
    <row r="55" spans="1:17">
      <c r="A55" s="12"/>
      <c r="E55" s="11"/>
    </row>
    <row r="56" spans="1:17">
      <c r="A56" s="12"/>
      <c r="E56" s="11"/>
    </row>
    <row r="57" spans="1:17">
      <c r="A57" s="12"/>
      <c r="E57" s="11"/>
    </row>
    <row r="58" spans="1:17">
      <c r="A58" s="12"/>
      <c r="E58" s="11"/>
    </row>
    <row r="59" spans="1:17">
      <c r="A59" s="12"/>
      <c r="E59" s="11"/>
    </row>
    <row r="60" spans="1:17">
      <c r="A60" s="12"/>
      <c r="E60" s="11"/>
    </row>
    <row r="61" spans="1:17">
      <c r="A61" s="12"/>
      <c r="E61" s="11"/>
    </row>
    <row r="62" spans="1:17" hidden="1">
      <c r="A62" s="19" t="s">
        <v>52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spans="1:17" hidden="1">
      <c r="A63" s="180" t="s">
        <v>53</v>
      </c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</row>
    <row r="64" spans="1:17" hidden="1">
      <c r="A64" s="4" t="s">
        <v>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idden="1">
      <c r="A65" s="73"/>
      <c r="B65" s="73"/>
      <c r="C65" s="73"/>
      <c r="D65" s="73"/>
      <c r="E65" s="73"/>
      <c r="F65" s="73"/>
    </row>
    <row r="66" spans="1:17" hidden="1">
      <c r="A66" s="73"/>
      <c r="B66" s="73"/>
      <c r="C66" s="73"/>
      <c r="D66" s="73"/>
      <c r="E66" s="73"/>
      <c r="F66" s="73"/>
    </row>
    <row r="67" spans="1:17" ht="16.5" hidden="1" customHeight="1">
      <c r="A67" s="182" t="s">
        <v>1</v>
      </c>
      <c r="B67" s="183"/>
      <c r="C67" s="183"/>
      <c r="D67" s="183"/>
      <c r="E67" s="183"/>
      <c r="F67" s="74" t="s">
        <v>5</v>
      </c>
      <c r="G67" s="74" t="s">
        <v>23</v>
      </c>
      <c r="H67" s="74" t="s">
        <v>24</v>
      </c>
      <c r="I67" s="74" t="s">
        <v>26</v>
      </c>
      <c r="J67" s="74" t="s">
        <v>26</v>
      </c>
      <c r="K67" s="74" t="s">
        <v>34</v>
      </c>
      <c r="L67" s="74" t="s">
        <v>28</v>
      </c>
      <c r="M67" s="74" t="s">
        <v>29</v>
      </c>
      <c r="N67" s="74" t="s">
        <v>30</v>
      </c>
      <c r="O67" s="74" t="s">
        <v>31</v>
      </c>
      <c r="P67" s="74" t="s">
        <v>32</v>
      </c>
      <c r="Q67" s="74" t="s">
        <v>32</v>
      </c>
    </row>
    <row r="68" spans="1:17" hidden="1"/>
    <row r="69" spans="1:17" hidden="1">
      <c r="A69" s="1" t="s">
        <v>17</v>
      </c>
      <c r="B69" s="1"/>
      <c r="C69" s="1"/>
      <c r="D69" s="1"/>
      <c r="E69" s="1"/>
      <c r="F69" s="13">
        <v>549746</v>
      </c>
      <c r="G69" s="13">
        <v>545917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</row>
    <row r="70" spans="1:17" hidden="1">
      <c r="A70" s="1"/>
      <c r="B70" s="1"/>
      <c r="C70" s="1"/>
      <c r="D70" s="1"/>
      <c r="E70" s="1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hidden="1">
      <c r="A71" s="1"/>
      <c r="B71" s="1" t="s">
        <v>18</v>
      </c>
      <c r="C71" s="1"/>
      <c r="D71" s="1"/>
      <c r="E71" s="1"/>
      <c r="F71" s="13">
        <v>100448</v>
      </c>
      <c r="G71" s="13">
        <v>100447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</row>
    <row r="72" spans="1:17" hidden="1">
      <c r="A72" s="1"/>
      <c r="B72" s="1"/>
      <c r="C72" s="1"/>
      <c r="D72" s="1"/>
      <c r="E72" s="1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hidden="1">
      <c r="C73" s="2" t="s">
        <v>9</v>
      </c>
      <c r="F73" s="15">
        <v>100312</v>
      </c>
      <c r="G73" s="15">
        <v>100311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</row>
    <row r="74" spans="1:17" hidden="1">
      <c r="C74" s="2" t="s">
        <v>19</v>
      </c>
      <c r="F74" s="14">
        <v>136</v>
      </c>
      <c r="G74" s="14">
        <v>136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</row>
    <row r="75" spans="1:17" hidden="1">
      <c r="D75" s="2" t="s">
        <v>20</v>
      </c>
      <c r="F75" s="15">
        <v>37</v>
      </c>
      <c r="G75" s="15">
        <v>37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</row>
    <row r="76" spans="1:17" hidden="1">
      <c r="D76" s="2" t="s">
        <v>15</v>
      </c>
      <c r="F76" s="15">
        <v>99</v>
      </c>
      <c r="G76" s="15">
        <v>99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</row>
    <row r="77" spans="1:17" hidden="1"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spans="1:17" hidden="1">
      <c r="A78" s="1"/>
      <c r="B78" s="1" t="s">
        <v>54</v>
      </c>
      <c r="C78" s="1"/>
      <c r="D78" s="1"/>
      <c r="E78" s="1"/>
      <c r="F78" s="13">
        <v>449298</v>
      </c>
      <c r="G78" s="13">
        <v>445470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</row>
    <row r="79" spans="1:17" hidden="1">
      <c r="A79" s="1"/>
      <c r="B79" s="1"/>
      <c r="C79" s="1"/>
      <c r="D79" s="1"/>
      <c r="E79" s="1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hidden="1">
      <c r="C80" s="2" t="s">
        <v>9</v>
      </c>
      <c r="F80" s="15">
        <v>445511</v>
      </c>
      <c r="G80" s="15">
        <v>441716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</row>
    <row r="81" spans="1:17" hidden="1">
      <c r="C81" s="2" t="s">
        <v>19</v>
      </c>
      <c r="F81" s="14">
        <v>3787</v>
      </c>
      <c r="G81" s="14">
        <v>3754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</row>
    <row r="82" spans="1:17" hidden="1">
      <c r="D82" s="2" t="s">
        <v>12</v>
      </c>
      <c r="F82" s="15">
        <v>3753</v>
      </c>
      <c r="G82" s="15">
        <v>3719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</row>
    <row r="83" spans="1:17" hidden="1">
      <c r="D83" s="2" t="s">
        <v>13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</row>
    <row r="84" spans="1:17" hidden="1">
      <c r="D84" s="2" t="s">
        <v>21</v>
      </c>
      <c r="F84" s="15">
        <v>34</v>
      </c>
      <c r="G84" s="15">
        <v>35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</row>
    <row r="85" spans="1:17" hidden="1">
      <c r="D85" s="2" t="s">
        <v>15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hidden="1"/>
    <row r="87" spans="1:17" hidden="1"/>
    <row r="88" spans="1:17" hidden="1">
      <c r="A88" s="8"/>
      <c r="B88" s="9"/>
      <c r="C88" s="9"/>
      <c r="D88" s="9"/>
    </row>
    <row r="89" spans="1:17" hidden="1">
      <c r="A89" s="2" t="s">
        <v>11</v>
      </c>
    </row>
    <row r="90" spans="1:17" hidden="1"/>
    <row r="91" spans="1:17" hidden="1"/>
    <row r="92" spans="1:17" hidden="1"/>
    <row r="93" spans="1:17" hidden="1"/>
    <row r="94" spans="1:17" hidden="1"/>
    <row r="95" spans="1:17" hidden="1"/>
    <row r="96" spans="1:17" hidden="1"/>
    <row r="97" hidden="1"/>
    <row r="98" hidden="1"/>
    <row r="99" hidden="1"/>
    <row r="100" hidden="1"/>
    <row r="101" hidden="1"/>
  </sheetData>
  <mergeCells count="3">
    <mergeCell ref="A67:E67"/>
    <mergeCell ref="A5:E5"/>
    <mergeCell ref="A63:Q6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0F19-0A41-4339-BBD8-41417884EB14}">
  <sheetPr>
    <pageSetUpPr fitToPage="1"/>
  </sheetPr>
  <dimension ref="A1:IS92"/>
  <sheetViews>
    <sheetView workbookViewId="0">
      <pane xSplit="5" ySplit="6" topLeftCell="F65" activePane="bottomRight" state="frozen"/>
      <selection pane="topRight" activeCell="F1" sqref="F1"/>
      <selection pane="bottomLeft" activeCell="A8" sqref="A8"/>
      <selection pane="bottomRight" activeCell="N77" sqref="N77"/>
    </sheetView>
  </sheetViews>
  <sheetFormatPr defaultRowHeight="16.5"/>
  <cols>
    <col min="1" max="2" width="1.85546875" style="2" customWidth="1"/>
    <col min="3" max="3" width="2.7109375" style="2" customWidth="1"/>
    <col min="4" max="4" width="2.85546875" style="2" customWidth="1"/>
    <col min="5" max="5" width="9" style="2" customWidth="1"/>
    <col min="6" max="17" width="8.7109375" style="2" customWidth="1"/>
    <col min="18" max="18" width="2.140625" style="2" customWidth="1"/>
    <col min="19" max="16384" width="9.140625" style="2"/>
  </cols>
  <sheetData>
    <row r="1" spans="1:18" hidden="1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8" hidden="1">
      <c r="A2" s="180" t="s">
        <v>53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</row>
    <row r="3" spans="1:18" hidden="1">
      <c r="A3" s="181" t="s">
        <v>0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</row>
    <row r="4" spans="1:18" hidden="1">
      <c r="A4" s="4"/>
    </row>
    <row r="5" spans="1:18" hidden="1">
      <c r="A5" s="4"/>
    </row>
    <row r="6" spans="1:18" ht="16.5" hidden="1" customHeight="1">
      <c r="A6" s="182" t="s">
        <v>1</v>
      </c>
      <c r="B6" s="183"/>
      <c r="C6" s="183"/>
      <c r="D6" s="183"/>
      <c r="E6" s="183"/>
      <c r="F6" s="74" t="s">
        <v>5</v>
      </c>
      <c r="G6" s="74" t="s">
        <v>23</v>
      </c>
      <c r="H6" s="74" t="s">
        <v>24</v>
      </c>
      <c r="I6" s="74" t="s">
        <v>26</v>
      </c>
      <c r="J6" s="74" t="s">
        <v>26</v>
      </c>
      <c r="K6" s="74" t="s">
        <v>34</v>
      </c>
      <c r="L6" s="74" t="s">
        <v>28</v>
      </c>
      <c r="M6" s="74" t="s">
        <v>29</v>
      </c>
      <c r="N6" s="74" t="s">
        <v>30</v>
      </c>
      <c r="O6" s="74" t="s">
        <v>31</v>
      </c>
      <c r="P6" s="74" t="s">
        <v>32</v>
      </c>
      <c r="Q6" s="74" t="s">
        <v>32</v>
      </c>
      <c r="R6" s="147"/>
    </row>
    <row r="7" spans="1:18" ht="16.5" hidden="1" customHeight="1">
      <c r="A7" s="46"/>
      <c r="B7" s="46"/>
      <c r="C7" s="46"/>
      <c r="D7" s="46"/>
      <c r="E7" s="46"/>
      <c r="F7" s="47"/>
    </row>
    <row r="8" spans="1:18" ht="14.25" hidden="1" customHeight="1">
      <c r="A8" s="1" t="s">
        <v>6</v>
      </c>
      <c r="B8" s="1"/>
      <c r="C8" s="1"/>
      <c r="D8" s="1"/>
      <c r="E8" s="1"/>
      <c r="F8" s="13">
        <f>+F9+F14</f>
        <v>2674899</v>
      </c>
      <c r="G8" s="13">
        <f t="shared" ref="G8:Q8" si="0">+G9+G14</f>
        <v>2664234</v>
      </c>
      <c r="H8" s="13">
        <f t="shared" si="0"/>
        <v>0</v>
      </c>
      <c r="I8" s="13">
        <f>+I9+I14</f>
        <v>0</v>
      </c>
      <c r="J8" s="13">
        <f t="shared" si="0"/>
        <v>0</v>
      </c>
      <c r="K8" s="13">
        <f t="shared" si="0"/>
        <v>0</v>
      </c>
      <c r="L8" s="13">
        <f t="shared" si="0"/>
        <v>0</v>
      </c>
      <c r="M8" s="13">
        <f t="shared" si="0"/>
        <v>0</v>
      </c>
      <c r="N8" s="13">
        <f t="shared" si="0"/>
        <v>0</v>
      </c>
      <c r="O8" s="13">
        <f t="shared" si="0"/>
        <v>0</v>
      </c>
      <c r="P8" s="13">
        <f>+P9+P14</f>
        <v>0</v>
      </c>
      <c r="Q8" s="13">
        <f t="shared" si="0"/>
        <v>0</v>
      </c>
    </row>
    <row r="9" spans="1:18" hidden="1">
      <c r="B9" s="2" t="s">
        <v>9</v>
      </c>
      <c r="F9" s="14">
        <f>+F10+F11+F12</f>
        <v>2672605</v>
      </c>
      <c r="G9" s="14">
        <f t="shared" ref="G9:Q9" si="1">+G10+G11+G12</f>
        <v>2661940</v>
      </c>
      <c r="H9" s="14">
        <f t="shared" si="1"/>
        <v>0</v>
      </c>
      <c r="I9" s="14">
        <f>+I10+I11+I12</f>
        <v>0</v>
      </c>
      <c r="J9" s="14">
        <f t="shared" si="1"/>
        <v>0</v>
      </c>
      <c r="K9" s="14">
        <f t="shared" si="1"/>
        <v>0</v>
      </c>
      <c r="L9" s="14">
        <f t="shared" si="1"/>
        <v>0</v>
      </c>
      <c r="M9" s="14">
        <f t="shared" si="1"/>
        <v>0</v>
      </c>
      <c r="N9" s="14">
        <f t="shared" si="1"/>
        <v>0</v>
      </c>
      <c r="O9" s="14">
        <f t="shared" si="1"/>
        <v>0</v>
      </c>
      <c r="P9" s="14">
        <f>+P10+P11+P12</f>
        <v>0</v>
      </c>
      <c r="Q9" s="14">
        <f t="shared" si="1"/>
        <v>0</v>
      </c>
    </row>
    <row r="10" spans="1:18" ht="15" hidden="1" customHeight="1">
      <c r="C10" s="2" t="s">
        <v>169</v>
      </c>
      <c r="F10" s="15">
        <v>2665806</v>
      </c>
      <c r="G10" s="15">
        <v>2655141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</row>
    <row r="11" spans="1:18" hidden="1">
      <c r="C11" s="2" t="s">
        <v>2</v>
      </c>
      <c r="F11" s="15">
        <v>6799</v>
      </c>
      <c r="G11" s="15">
        <v>6799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</row>
    <row r="12" spans="1:18" hidden="1">
      <c r="C12" s="2" t="s">
        <v>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</row>
    <row r="13" spans="1:18" ht="8.25" hidden="1" customHeight="1"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8" hidden="1">
      <c r="B14" s="2" t="s">
        <v>4</v>
      </c>
      <c r="F14" s="14">
        <f>SUM(F15:F18)</f>
        <v>2294</v>
      </c>
      <c r="G14" s="14">
        <f t="shared" ref="G14:Q14" si="2">SUM(G15:G18)</f>
        <v>2294</v>
      </c>
      <c r="H14" s="14">
        <f t="shared" si="2"/>
        <v>0</v>
      </c>
      <c r="I14" s="14">
        <f>SUM(I15:I18)</f>
        <v>0</v>
      </c>
      <c r="J14" s="14">
        <f t="shared" si="2"/>
        <v>0</v>
      </c>
      <c r="K14" s="14">
        <f t="shared" si="2"/>
        <v>0</v>
      </c>
      <c r="L14" s="14">
        <f t="shared" si="2"/>
        <v>0</v>
      </c>
      <c r="M14" s="14">
        <f t="shared" si="2"/>
        <v>0</v>
      </c>
      <c r="N14" s="14">
        <f t="shared" si="2"/>
        <v>0</v>
      </c>
      <c r="O14" s="14">
        <f t="shared" si="2"/>
        <v>0</v>
      </c>
      <c r="P14" s="14">
        <f>SUM(P15:P18)</f>
        <v>0</v>
      </c>
      <c r="Q14" s="14">
        <f t="shared" si="2"/>
        <v>0</v>
      </c>
    </row>
    <row r="15" spans="1:18" hidden="1">
      <c r="C15" s="2" t="s">
        <v>12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</row>
    <row r="16" spans="1:18" hidden="1">
      <c r="C16" s="2" t="s">
        <v>13</v>
      </c>
      <c r="F16" s="15">
        <v>2288</v>
      </c>
      <c r="G16" s="15">
        <v>2288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</row>
    <row r="17" spans="1:17" hidden="1">
      <c r="C17" s="2" t="s">
        <v>14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</row>
    <row r="18" spans="1:17" hidden="1">
      <c r="C18" s="2" t="s">
        <v>15</v>
      </c>
      <c r="F18" s="15">
        <v>6</v>
      </c>
      <c r="G18" s="15">
        <v>6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</row>
    <row r="19" spans="1:17" hidden="1"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5" hidden="1" customHeight="1">
      <c r="A20" s="1" t="s">
        <v>170</v>
      </c>
      <c r="B20" s="1"/>
      <c r="C20" s="1"/>
      <c r="D20" s="1"/>
      <c r="E20" s="1"/>
      <c r="F20" s="13">
        <f>+F21+F25+F34</f>
        <v>2065756</v>
      </c>
      <c r="G20" s="13">
        <f t="shared" ref="G20:Q20" si="3">+G21+G25+G34</f>
        <v>1991061</v>
      </c>
      <c r="H20" s="13">
        <f t="shared" si="3"/>
        <v>0</v>
      </c>
      <c r="I20" s="13">
        <f>+I21+I25+I34</f>
        <v>0</v>
      </c>
      <c r="J20" s="13">
        <f t="shared" si="3"/>
        <v>0</v>
      </c>
      <c r="K20" s="13">
        <f t="shared" si="3"/>
        <v>0</v>
      </c>
      <c r="L20" s="13">
        <f t="shared" si="3"/>
        <v>0</v>
      </c>
      <c r="M20" s="13">
        <f t="shared" si="3"/>
        <v>0</v>
      </c>
      <c r="N20" s="13">
        <f t="shared" si="3"/>
        <v>0</v>
      </c>
      <c r="O20" s="13">
        <f t="shared" si="3"/>
        <v>0</v>
      </c>
      <c r="P20" s="13">
        <f>+P21+P25+P34</f>
        <v>0</v>
      </c>
      <c r="Q20" s="13">
        <f t="shared" si="3"/>
        <v>0</v>
      </c>
    </row>
    <row r="21" spans="1:17" ht="15.75" hidden="1" customHeight="1">
      <c r="B21" s="2" t="s">
        <v>10</v>
      </c>
      <c r="F21" s="14">
        <f>+F22+F23</f>
        <v>832853</v>
      </c>
      <c r="G21" s="14">
        <f t="shared" ref="G21:Q21" si="4">+G22+G23</f>
        <v>823231</v>
      </c>
      <c r="H21" s="14">
        <f t="shared" si="4"/>
        <v>0</v>
      </c>
      <c r="I21" s="14">
        <f>+I22+I23</f>
        <v>0</v>
      </c>
      <c r="J21" s="14">
        <f t="shared" si="4"/>
        <v>0</v>
      </c>
      <c r="K21" s="14">
        <f t="shared" si="4"/>
        <v>0</v>
      </c>
      <c r="L21" s="14">
        <f t="shared" si="4"/>
        <v>0</v>
      </c>
      <c r="M21" s="14">
        <f t="shared" si="4"/>
        <v>0</v>
      </c>
      <c r="N21" s="14">
        <f t="shared" si="4"/>
        <v>0</v>
      </c>
      <c r="O21" s="14">
        <f t="shared" si="4"/>
        <v>0</v>
      </c>
      <c r="P21" s="14">
        <f>+P22+P23</f>
        <v>0</v>
      </c>
      <c r="Q21" s="14">
        <f t="shared" si="4"/>
        <v>0</v>
      </c>
    </row>
    <row r="22" spans="1:17" hidden="1">
      <c r="C22" s="2" t="s">
        <v>2</v>
      </c>
      <c r="F22" s="15">
        <v>765797</v>
      </c>
      <c r="G22" s="15">
        <v>756887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</row>
    <row r="23" spans="1:17" hidden="1">
      <c r="C23" s="2" t="s">
        <v>3</v>
      </c>
      <c r="F23" s="15">
        <v>67056</v>
      </c>
      <c r="G23" s="15">
        <v>66344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</row>
    <row r="24" spans="1:17" ht="9" hidden="1" customHeight="1"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hidden="1">
      <c r="B25" s="2" t="s">
        <v>4</v>
      </c>
      <c r="F25" s="14">
        <f>+F26+F32</f>
        <v>20</v>
      </c>
      <c r="G25" s="14">
        <f t="shared" ref="G25:Q25" si="5">+G26+G32</f>
        <v>20</v>
      </c>
      <c r="H25" s="14">
        <f t="shared" si="5"/>
        <v>0</v>
      </c>
      <c r="I25" s="14">
        <f>+I26+I32</f>
        <v>0</v>
      </c>
      <c r="J25" s="14">
        <f t="shared" si="5"/>
        <v>0</v>
      </c>
      <c r="K25" s="14">
        <f t="shared" si="5"/>
        <v>0</v>
      </c>
      <c r="L25" s="14">
        <f t="shared" si="5"/>
        <v>0</v>
      </c>
      <c r="M25" s="14">
        <f t="shared" si="5"/>
        <v>0</v>
      </c>
      <c r="N25" s="14">
        <f t="shared" si="5"/>
        <v>0</v>
      </c>
      <c r="O25" s="14">
        <f t="shared" si="5"/>
        <v>0</v>
      </c>
      <c r="P25" s="14">
        <f>+P26+P32</f>
        <v>0</v>
      </c>
      <c r="Q25" s="14">
        <f t="shared" si="5"/>
        <v>0</v>
      </c>
    </row>
    <row r="26" spans="1:17" hidden="1">
      <c r="C26" s="2" t="s">
        <v>171</v>
      </c>
      <c r="F26" s="14">
        <f>SUM(F27:F31)</f>
        <v>20</v>
      </c>
      <c r="G26" s="14">
        <f t="shared" ref="G26:Q26" si="6">SUM(G27:G31)</f>
        <v>20</v>
      </c>
      <c r="H26" s="14">
        <f t="shared" si="6"/>
        <v>0</v>
      </c>
      <c r="I26" s="14">
        <f>SUM(I27:I31)</f>
        <v>0</v>
      </c>
      <c r="J26" s="14">
        <f t="shared" si="6"/>
        <v>0</v>
      </c>
      <c r="K26" s="14">
        <f t="shared" si="6"/>
        <v>0</v>
      </c>
      <c r="L26" s="14">
        <f t="shared" si="6"/>
        <v>0</v>
      </c>
      <c r="M26" s="14">
        <f t="shared" si="6"/>
        <v>0</v>
      </c>
      <c r="N26" s="14">
        <f t="shared" si="6"/>
        <v>0</v>
      </c>
      <c r="O26" s="14">
        <f t="shared" si="6"/>
        <v>0</v>
      </c>
      <c r="P26" s="14">
        <f>SUM(P27:P31)</f>
        <v>0</v>
      </c>
      <c r="Q26" s="14">
        <f t="shared" si="6"/>
        <v>0</v>
      </c>
    </row>
    <row r="27" spans="1:17" hidden="1">
      <c r="D27" s="2" t="s">
        <v>12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</row>
    <row r="28" spans="1:17" hidden="1">
      <c r="D28" s="2" t="s">
        <v>13</v>
      </c>
      <c r="F28" s="15">
        <v>4</v>
      </c>
      <c r="G28" s="15">
        <v>4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</row>
    <row r="29" spans="1:17" hidden="1">
      <c r="D29" s="2" t="s">
        <v>14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</row>
    <row r="30" spans="1:17" hidden="1">
      <c r="D30" s="2" t="s">
        <v>15</v>
      </c>
      <c r="F30" s="15">
        <v>16</v>
      </c>
      <c r="G30" s="15">
        <v>16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</row>
    <row r="31" spans="1:17" hidden="1">
      <c r="D31" s="2" t="s">
        <v>16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</row>
    <row r="32" spans="1:17" hidden="1">
      <c r="C32" s="2" t="s">
        <v>172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</row>
    <row r="33" spans="1:253" ht="11.25" hidden="1" customHeight="1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253" hidden="1">
      <c r="B34" s="2" t="s">
        <v>173</v>
      </c>
      <c r="F34" s="15">
        <v>1232883</v>
      </c>
      <c r="G34" s="15">
        <v>1167810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</row>
    <row r="35" spans="1:253" hidden="1">
      <c r="IS35" s="2">
        <v>0</v>
      </c>
    </row>
    <row r="36" spans="1:253" hidden="1"/>
    <row r="37" spans="1:253" hidden="1">
      <c r="C37" s="1" t="s">
        <v>7</v>
      </c>
      <c r="D37" s="1"/>
      <c r="E37" s="1"/>
      <c r="F37" s="41">
        <f t="shared" ref="F37:Q37" si="7">+F8+F20</f>
        <v>4740655</v>
      </c>
      <c r="G37" s="41">
        <f t="shared" si="7"/>
        <v>4655295</v>
      </c>
      <c r="H37" s="41">
        <f t="shared" si="7"/>
        <v>0</v>
      </c>
      <c r="I37" s="41">
        <f>+I8+I20</f>
        <v>0</v>
      </c>
      <c r="J37" s="41">
        <f t="shared" si="7"/>
        <v>0</v>
      </c>
      <c r="K37" s="41">
        <f>+K8+K20</f>
        <v>0</v>
      </c>
      <c r="L37" s="41">
        <f t="shared" si="7"/>
        <v>0</v>
      </c>
      <c r="M37" s="41">
        <f t="shared" si="7"/>
        <v>0</v>
      </c>
      <c r="N37" s="41">
        <f t="shared" si="7"/>
        <v>0</v>
      </c>
      <c r="O37" s="41">
        <f t="shared" si="7"/>
        <v>0</v>
      </c>
      <c r="P37" s="41">
        <f t="shared" si="7"/>
        <v>0</v>
      </c>
      <c r="Q37" s="41">
        <f t="shared" si="7"/>
        <v>0</v>
      </c>
    </row>
    <row r="38" spans="1:253" hidden="1">
      <c r="A38" s="8"/>
      <c r="B38" s="9"/>
      <c r="C38" s="9"/>
      <c r="D38" s="9"/>
    </row>
    <row r="39" spans="1:253" hidden="1">
      <c r="A39" s="2" t="s">
        <v>11</v>
      </c>
    </row>
    <row r="40" spans="1:253" hidden="1">
      <c r="A40" s="1"/>
    </row>
    <row r="41" spans="1:253" s="11" customFormat="1" hidden="1">
      <c r="A41" s="10" t="s">
        <v>8</v>
      </c>
      <c r="B41" s="10"/>
      <c r="C41" s="10"/>
      <c r="D41" s="10"/>
      <c r="E41" s="10"/>
      <c r="F41" s="71">
        <v>44.1</v>
      </c>
      <c r="G41" s="71">
        <v>43.7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</row>
    <row r="42" spans="1:253" s="11" customFormat="1" hidden="1">
      <c r="A42" s="10"/>
      <c r="B42" s="10"/>
      <c r="C42" s="10"/>
      <c r="D42" s="10"/>
      <c r="E42" s="10"/>
    </row>
    <row r="43" spans="1:253" s="11" customFormat="1" hidden="1">
      <c r="A43" s="10"/>
      <c r="B43" s="10"/>
      <c r="C43" s="10"/>
      <c r="D43" s="10"/>
      <c r="E43" s="10"/>
    </row>
    <row r="44" spans="1:253" hidden="1">
      <c r="A44" s="11" t="s">
        <v>22</v>
      </c>
    </row>
    <row r="45" spans="1:253" hidden="1">
      <c r="A45" s="11"/>
    </row>
    <row r="46" spans="1:253" hidden="1">
      <c r="A46" s="48"/>
      <c r="E46" s="11"/>
    </row>
    <row r="47" spans="1:253" hidden="1">
      <c r="A47" s="12"/>
      <c r="E47" s="11"/>
    </row>
    <row r="48" spans="1:253" hidden="1">
      <c r="A48" s="12"/>
      <c r="E48" s="11"/>
    </row>
    <row r="49" spans="1:5" hidden="1">
      <c r="A49" s="12"/>
      <c r="E49" s="11"/>
    </row>
    <row r="50" spans="1:5" hidden="1">
      <c r="A50" s="12"/>
      <c r="E50" s="11"/>
    </row>
    <row r="51" spans="1:5" hidden="1">
      <c r="A51" s="12"/>
      <c r="E51" s="11"/>
    </row>
    <row r="52" spans="1:5" hidden="1">
      <c r="A52" s="12"/>
      <c r="E52" s="11"/>
    </row>
    <row r="53" spans="1:5" hidden="1">
      <c r="A53" s="12"/>
      <c r="E53" s="11"/>
    </row>
    <row r="54" spans="1:5" hidden="1">
      <c r="A54" s="12"/>
      <c r="E54" s="11"/>
    </row>
    <row r="55" spans="1:5" hidden="1">
      <c r="A55" s="12"/>
      <c r="E55" s="11"/>
    </row>
    <row r="56" spans="1:5" hidden="1">
      <c r="A56" s="12"/>
      <c r="E56" s="11"/>
    </row>
    <row r="57" spans="1:5" hidden="1">
      <c r="A57" s="12"/>
      <c r="E57" s="11"/>
    </row>
    <row r="58" spans="1:5" hidden="1">
      <c r="A58" s="12"/>
      <c r="E58" s="11"/>
    </row>
    <row r="59" spans="1:5" hidden="1">
      <c r="A59" s="12"/>
      <c r="E59" s="11"/>
    </row>
    <row r="60" spans="1:5" hidden="1">
      <c r="A60" s="12"/>
      <c r="E60" s="11"/>
    </row>
    <row r="61" spans="1:5" hidden="1">
      <c r="A61" s="12"/>
      <c r="E61" s="11"/>
    </row>
    <row r="62" spans="1:5" hidden="1">
      <c r="A62" s="12"/>
      <c r="E62" s="11"/>
    </row>
    <row r="63" spans="1:5" hidden="1">
      <c r="A63" s="12"/>
      <c r="E63" s="11"/>
    </row>
    <row r="64" spans="1:5" hidden="1">
      <c r="A64" s="12"/>
      <c r="E64" s="11"/>
    </row>
    <row r="65" spans="1:18">
      <c r="A65" s="19" t="s">
        <v>138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</row>
    <row r="66" spans="1:18">
      <c r="A66" s="19" t="s">
        <v>51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</row>
    <row r="67" spans="1:18">
      <c r="A67" s="4" t="s">
        <v>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>
      <c r="A68" s="73"/>
      <c r="B68" s="73"/>
      <c r="C68" s="73"/>
      <c r="D68" s="73"/>
      <c r="E68" s="73"/>
      <c r="F68" s="73"/>
    </row>
    <row r="69" spans="1:18" ht="23.25" customHeight="1">
      <c r="A69" s="186" t="s">
        <v>1</v>
      </c>
      <c r="B69" s="187"/>
      <c r="C69" s="187"/>
      <c r="D69" s="187"/>
      <c r="E69" s="187"/>
      <c r="F69" s="163" t="s">
        <v>5</v>
      </c>
      <c r="G69" s="163" t="s">
        <v>23</v>
      </c>
      <c r="H69" s="163" t="s">
        <v>24</v>
      </c>
      <c r="I69" s="163" t="s">
        <v>26</v>
      </c>
      <c r="J69" s="163" t="s">
        <v>27</v>
      </c>
      <c r="K69" s="163" t="s">
        <v>34</v>
      </c>
      <c r="L69" s="163" t="s">
        <v>28</v>
      </c>
      <c r="M69" s="163" t="s">
        <v>29</v>
      </c>
      <c r="N69" s="163" t="s">
        <v>30</v>
      </c>
      <c r="O69" s="163" t="s">
        <v>31</v>
      </c>
      <c r="P69" s="163" t="s">
        <v>32</v>
      </c>
      <c r="Q69" s="163" t="s">
        <v>33</v>
      </c>
      <c r="R69" s="175"/>
    </row>
    <row r="70" spans="1:18" ht="13.5" customHeight="1">
      <c r="I70" s="2" t="s">
        <v>35</v>
      </c>
    </row>
    <row r="71" spans="1:18">
      <c r="A71" s="1" t="s">
        <v>17</v>
      </c>
      <c r="B71" s="1"/>
      <c r="C71" s="1"/>
      <c r="D71" s="1"/>
      <c r="E71" s="1"/>
      <c r="F71" s="13">
        <f>+F73+F80</f>
        <v>487281</v>
      </c>
      <c r="G71" s="13">
        <f t="shared" ref="G71:Q71" si="8">+G73+G80</f>
        <v>484240</v>
      </c>
      <c r="H71" s="13">
        <f t="shared" si="8"/>
        <v>479929</v>
      </c>
      <c r="I71" s="13">
        <f t="shared" si="8"/>
        <v>475052</v>
      </c>
      <c r="J71" s="13">
        <f t="shared" si="8"/>
        <v>479360</v>
      </c>
      <c r="K71" s="13">
        <f t="shared" si="8"/>
        <v>490698</v>
      </c>
      <c r="L71" s="13">
        <f t="shared" si="8"/>
        <v>492057</v>
      </c>
      <c r="M71" s="13">
        <f t="shared" si="8"/>
        <v>499890</v>
      </c>
      <c r="N71" s="13">
        <f t="shared" si="8"/>
        <v>486770</v>
      </c>
      <c r="O71" s="13">
        <f t="shared" si="8"/>
        <v>484036</v>
      </c>
      <c r="P71" s="13">
        <f t="shared" si="8"/>
        <v>471093</v>
      </c>
      <c r="Q71" s="13">
        <f t="shared" si="8"/>
        <v>597826</v>
      </c>
    </row>
    <row r="72" spans="1:18">
      <c r="A72" s="1"/>
      <c r="B72" s="1"/>
      <c r="C72" s="1"/>
      <c r="D72" s="1"/>
      <c r="E72" s="1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8">
      <c r="A73" s="1"/>
      <c r="B73" s="1" t="s">
        <v>18</v>
      </c>
      <c r="C73" s="1"/>
      <c r="D73" s="1"/>
      <c r="E73" s="1"/>
      <c r="F73" s="13">
        <f>+F75+F76</f>
        <v>144181</v>
      </c>
      <c r="G73" s="13">
        <f t="shared" ref="G73:Q73" si="9">+G75+G76</f>
        <v>143993</v>
      </c>
      <c r="H73" s="13">
        <f t="shared" si="9"/>
        <v>143994</v>
      </c>
      <c r="I73" s="13">
        <f t="shared" si="9"/>
        <v>143993</v>
      </c>
      <c r="J73" s="13">
        <f t="shared" si="9"/>
        <v>143806</v>
      </c>
      <c r="K73" s="13">
        <f t="shared" si="9"/>
        <v>143994</v>
      </c>
      <c r="L73" s="13">
        <f t="shared" si="9"/>
        <v>143994</v>
      </c>
      <c r="M73" s="13">
        <f t="shared" si="9"/>
        <v>143619</v>
      </c>
      <c r="N73" s="13">
        <f t="shared" si="9"/>
        <v>143619</v>
      </c>
      <c r="O73" s="13">
        <f t="shared" si="9"/>
        <v>143619</v>
      </c>
      <c r="P73" s="13">
        <f t="shared" si="9"/>
        <v>131431</v>
      </c>
      <c r="Q73" s="13">
        <f t="shared" si="9"/>
        <v>258448</v>
      </c>
    </row>
    <row r="74" spans="1:18">
      <c r="A74" s="1"/>
      <c r="B74" s="1"/>
      <c r="C74" s="1"/>
      <c r="D74" s="1"/>
      <c r="E74" s="1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8" ht="19.5">
      <c r="C75" s="2" t="s">
        <v>167</v>
      </c>
      <c r="F75" s="15">
        <v>144045</v>
      </c>
      <c r="G75" s="15">
        <v>143857</v>
      </c>
      <c r="H75" s="15">
        <v>143858</v>
      </c>
      <c r="I75" s="15">
        <v>143857</v>
      </c>
      <c r="J75" s="15">
        <v>143670</v>
      </c>
      <c r="K75" s="15">
        <v>143858</v>
      </c>
      <c r="L75" s="15">
        <v>143858</v>
      </c>
      <c r="M75" s="15">
        <v>143483</v>
      </c>
      <c r="N75" s="15">
        <v>143483</v>
      </c>
      <c r="O75" s="15">
        <v>143483</v>
      </c>
      <c r="P75" s="15">
        <v>131295</v>
      </c>
      <c r="Q75" s="15">
        <f>131295+127017</f>
        <v>258312</v>
      </c>
      <c r="R75" s="159" t="s">
        <v>176</v>
      </c>
    </row>
    <row r="76" spans="1:18">
      <c r="C76" s="2" t="s">
        <v>19</v>
      </c>
      <c r="F76" s="14">
        <f>+F77+F78</f>
        <v>136</v>
      </c>
      <c r="G76" s="14">
        <f t="shared" ref="G76:Q76" si="10">+G77+G78</f>
        <v>136</v>
      </c>
      <c r="H76" s="14">
        <f t="shared" si="10"/>
        <v>136</v>
      </c>
      <c r="I76" s="14">
        <f t="shared" si="10"/>
        <v>136</v>
      </c>
      <c r="J76" s="14">
        <f t="shared" si="10"/>
        <v>136</v>
      </c>
      <c r="K76" s="14">
        <f t="shared" si="10"/>
        <v>136</v>
      </c>
      <c r="L76" s="14">
        <f t="shared" si="10"/>
        <v>136</v>
      </c>
      <c r="M76" s="14">
        <f t="shared" si="10"/>
        <v>136</v>
      </c>
      <c r="N76" s="14">
        <f t="shared" si="10"/>
        <v>136</v>
      </c>
      <c r="O76" s="14">
        <f t="shared" si="10"/>
        <v>136</v>
      </c>
      <c r="P76" s="14">
        <f t="shared" si="10"/>
        <v>136</v>
      </c>
      <c r="Q76" s="14">
        <f t="shared" si="10"/>
        <v>136</v>
      </c>
    </row>
    <row r="77" spans="1:18">
      <c r="D77" s="2" t="s">
        <v>20</v>
      </c>
      <c r="F77" s="15">
        <v>37</v>
      </c>
      <c r="G77" s="15">
        <v>37</v>
      </c>
      <c r="H77" s="15">
        <v>37</v>
      </c>
      <c r="I77" s="15">
        <v>37</v>
      </c>
      <c r="J77" s="15">
        <v>37</v>
      </c>
      <c r="K77" s="15">
        <v>37</v>
      </c>
      <c r="L77" s="15">
        <v>37</v>
      </c>
      <c r="M77" s="15">
        <v>37</v>
      </c>
      <c r="N77" s="15">
        <v>37</v>
      </c>
      <c r="O77" s="15">
        <v>37</v>
      </c>
      <c r="P77" s="15">
        <v>37</v>
      </c>
      <c r="Q77" s="15">
        <v>37</v>
      </c>
    </row>
    <row r="78" spans="1:18">
      <c r="D78" s="2" t="s">
        <v>15</v>
      </c>
      <c r="F78" s="15">
        <v>99</v>
      </c>
      <c r="G78" s="15">
        <v>99</v>
      </c>
      <c r="H78" s="15">
        <v>99</v>
      </c>
      <c r="I78" s="15">
        <v>99</v>
      </c>
      <c r="J78" s="15">
        <v>99</v>
      </c>
      <c r="K78" s="15">
        <v>99</v>
      </c>
      <c r="L78" s="15">
        <v>99</v>
      </c>
      <c r="M78" s="15">
        <v>99</v>
      </c>
      <c r="N78" s="15">
        <v>99</v>
      </c>
      <c r="O78" s="15">
        <v>99</v>
      </c>
      <c r="P78" s="15">
        <v>99</v>
      </c>
      <c r="Q78" s="15">
        <v>99</v>
      </c>
    </row>
    <row r="79" spans="1:18"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spans="1:18">
      <c r="A80" s="1"/>
      <c r="B80" s="1" t="s">
        <v>168</v>
      </c>
      <c r="C80" s="1"/>
      <c r="D80" s="1"/>
      <c r="E80" s="1"/>
      <c r="F80" s="13">
        <f>+F82+F83</f>
        <v>343100</v>
      </c>
      <c r="G80" s="13">
        <f t="shared" ref="G80:Q80" si="11">+G82+G83</f>
        <v>340247</v>
      </c>
      <c r="H80" s="13">
        <f t="shared" si="11"/>
        <v>335935</v>
      </c>
      <c r="I80" s="13">
        <f t="shared" si="11"/>
        <v>331059</v>
      </c>
      <c r="J80" s="13">
        <f t="shared" si="11"/>
        <v>335554</v>
      </c>
      <c r="K80" s="13">
        <f t="shared" si="11"/>
        <v>346704</v>
      </c>
      <c r="L80" s="13">
        <f t="shared" si="11"/>
        <v>348063</v>
      </c>
      <c r="M80" s="13">
        <f t="shared" si="11"/>
        <v>356271</v>
      </c>
      <c r="N80" s="13">
        <f t="shared" si="11"/>
        <v>343151</v>
      </c>
      <c r="O80" s="13">
        <f t="shared" si="11"/>
        <v>340417</v>
      </c>
      <c r="P80" s="13">
        <f t="shared" si="11"/>
        <v>339662</v>
      </c>
      <c r="Q80" s="13">
        <f t="shared" si="11"/>
        <v>339378</v>
      </c>
    </row>
    <row r="81" spans="1:17">
      <c r="A81" s="1"/>
      <c r="B81" s="1"/>
      <c r="C81" s="1"/>
      <c r="D81" s="1"/>
      <c r="E81" s="1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>
      <c r="C82" s="2" t="s">
        <v>167</v>
      </c>
      <c r="F82" s="15">
        <v>339622</v>
      </c>
      <c r="G82" s="15">
        <v>336761</v>
      </c>
      <c r="H82" s="15">
        <v>332420</v>
      </c>
      <c r="I82" s="15">
        <v>327534</v>
      </c>
      <c r="J82" s="15">
        <v>331931</v>
      </c>
      <c r="K82" s="15">
        <v>342983</v>
      </c>
      <c r="L82" s="15">
        <v>344346</v>
      </c>
      <c r="M82" s="15">
        <v>352439</v>
      </c>
      <c r="N82" s="15">
        <v>339437</v>
      </c>
      <c r="O82" s="15">
        <v>336725</v>
      </c>
      <c r="P82" s="15">
        <v>335915</v>
      </c>
      <c r="Q82" s="15">
        <v>335571</v>
      </c>
    </row>
    <row r="83" spans="1:17">
      <c r="C83" s="2" t="s">
        <v>19</v>
      </c>
      <c r="F83" s="14">
        <f>SUM(F84:F87)</f>
        <v>3478</v>
      </c>
      <c r="G83" s="14">
        <f t="shared" ref="G83:Q83" si="12">SUM(G84:G87)</f>
        <v>3486</v>
      </c>
      <c r="H83" s="14">
        <f t="shared" si="12"/>
        <v>3515</v>
      </c>
      <c r="I83" s="14">
        <f t="shared" si="12"/>
        <v>3525</v>
      </c>
      <c r="J83" s="14">
        <f t="shared" si="12"/>
        <v>3623</v>
      </c>
      <c r="K83" s="14">
        <f t="shared" si="12"/>
        <v>3721</v>
      </c>
      <c r="L83" s="14">
        <f t="shared" si="12"/>
        <v>3717</v>
      </c>
      <c r="M83" s="14">
        <f t="shared" si="12"/>
        <v>3832</v>
      </c>
      <c r="N83" s="14">
        <f t="shared" si="12"/>
        <v>3714</v>
      </c>
      <c r="O83" s="14">
        <f t="shared" si="12"/>
        <v>3692</v>
      </c>
      <c r="P83" s="14">
        <f t="shared" si="12"/>
        <v>3747</v>
      </c>
      <c r="Q83" s="14">
        <f t="shared" si="12"/>
        <v>3807</v>
      </c>
    </row>
    <row r="84" spans="1:17">
      <c r="D84" s="2" t="s">
        <v>12</v>
      </c>
      <c r="F84" s="15">
        <v>3446</v>
      </c>
      <c r="G84" s="15">
        <v>3454</v>
      </c>
      <c r="H84" s="15">
        <v>3483</v>
      </c>
      <c r="I84" s="15">
        <v>3492</v>
      </c>
      <c r="J84" s="15">
        <v>3589</v>
      </c>
      <c r="K84" s="15">
        <v>3687</v>
      </c>
      <c r="L84" s="15">
        <v>3683</v>
      </c>
      <c r="M84" s="15">
        <v>3797</v>
      </c>
      <c r="N84" s="15">
        <v>3679</v>
      </c>
      <c r="O84" s="15">
        <v>3658</v>
      </c>
      <c r="P84" s="15">
        <v>3713</v>
      </c>
      <c r="Q84" s="15">
        <v>3772</v>
      </c>
    </row>
    <row r="85" spans="1:17" hidden="1">
      <c r="D85" s="2" t="s">
        <v>13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>
      <c r="D86" s="2" t="s">
        <v>21</v>
      </c>
      <c r="F86" s="15">
        <v>32</v>
      </c>
      <c r="G86" s="15">
        <v>32</v>
      </c>
      <c r="H86" s="15">
        <v>32</v>
      </c>
      <c r="I86" s="15">
        <v>33</v>
      </c>
      <c r="J86" s="15">
        <v>34</v>
      </c>
      <c r="K86" s="15">
        <v>34</v>
      </c>
      <c r="L86" s="15">
        <v>34</v>
      </c>
      <c r="M86" s="15">
        <v>35</v>
      </c>
      <c r="N86" s="15">
        <v>35</v>
      </c>
      <c r="O86" s="15">
        <v>34</v>
      </c>
      <c r="P86" s="15">
        <v>34</v>
      </c>
      <c r="Q86" s="15">
        <v>35</v>
      </c>
    </row>
    <row r="87" spans="1:17" hidden="1">
      <c r="D87" s="2" t="s">
        <v>15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</row>
    <row r="89" spans="1:17">
      <c r="A89" s="8"/>
      <c r="B89" s="9"/>
      <c r="C89" s="9"/>
      <c r="D89" s="9"/>
    </row>
    <row r="90" spans="1:17">
      <c r="A90" s="2" t="s">
        <v>11</v>
      </c>
    </row>
    <row r="92" spans="1:17">
      <c r="A92" s="2" t="s">
        <v>176</v>
      </c>
      <c r="B92" s="2" t="s">
        <v>177</v>
      </c>
    </row>
  </sheetData>
  <mergeCells count="4">
    <mergeCell ref="A69:E69"/>
    <mergeCell ref="A2:Q2"/>
    <mergeCell ref="A3:Q3"/>
    <mergeCell ref="A6:E6"/>
  </mergeCells>
  <printOptions horizontalCentered="1"/>
  <pageMargins left="0.51181102362204722" right="0" top="0.98425196850393704" bottom="0.23622047244094491" header="0.51181102362204722" footer="0.51181102362204722"/>
  <pageSetup paperSize="9" scale="82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>
    <pageSetUpPr fitToPage="1"/>
  </sheetPr>
  <dimension ref="A1:S101"/>
  <sheetViews>
    <sheetView workbookViewId="0">
      <pane xSplit="5" ySplit="5" topLeftCell="F9" activePane="bottomRight" state="frozen"/>
      <selection pane="topRight" activeCell="F1" sqref="F1"/>
      <selection pane="bottomLeft" activeCell="A8" sqref="A8"/>
      <selection pane="bottomRight" activeCell="K14" sqref="K14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2.28515625" style="2" customWidth="1"/>
    <col min="6" max="17" width="10.140625" style="2" bestFit="1" customWidth="1"/>
    <col min="18" max="18" width="9.140625" style="2" customWidth="1"/>
    <col min="19" max="251" width="9.140625" style="2"/>
    <col min="252" max="252" width="9.28515625" style="2" bestFit="1" customWidth="1"/>
    <col min="253" max="16384" width="9.140625" style="2"/>
  </cols>
  <sheetData>
    <row r="1" spans="1:19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9">
      <c r="A2" s="19" t="s">
        <v>55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9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9" ht="12" customHeight="1">
      <c r="A4" s="4"/>
    </row>
    <row r="5" spans="1:19" ht="22.5" customHeight="1">
      <c r="A5" s="186" t="s">
        <v>1</v>
      </c>
      <c r="B5" s="187"/>
      <c r="C5" s="187"/>
      <c r="D5" s="187"/>
      <c r="E5" s="187"/>
      <c r="F5" s="163" t="s">
        <v>5</v>
      </c>
      <c r="G5" s="163" t="s">
        <v>23</v>
      </c>
      <c r="H5" s="163" t="s">
        <v>24</v>
      </c>
      <c r="I5" s="163" t="s">
        <v>26</v>
      </c>
      <c r="J5" s="163" t="s">
        <v>27</v>
      </c>
      <c r="K5" s="163" t="s">
        <v>34</v>
      </c>
      <c r="L5" s="163" t="s">
        <v>28</v>
      </c>
      <c r="M5" s="163" t="s">
        <v>29</v>
      </c>
      <c r="N5" s="163" t="s">
        <v>30</v>
      </c>
      <c r="O5" s="163" t="s">
        <v>31</v>
      </c>
      <c r="P5" s="163" t="s">
        <v>32</v>
      </c>
      <c r="Q5" s="163" t="s">
        <v>33</v>
      </c>
    </row>
    <row r="6" spans="1:19" ht="9" customHeight="1">
      <c r="A6" s="46"/>
      <c r="B6" s="46"/>
      <c r="C6" s="46"/>
      <c r="D6" s="46"/>
      <c r="E6" s="46"/>
      <c r="F6" s="47"/>
    </row>
    <row r="7" spans="1:19" ht="14.25" customHeight="1">
      <c r="A7" s="1" t="s">
        <v>6</v>
      </c>
      <c r="B7" s="1"/>
      <c r="C7" s="1"/>
      <c r="D7" s="1"/>
      <c r="E7" s="1"/>
      <c r="F7" s="13">
        <v>2877358</v>
      </c>
      <c r="G7" s="13">
        <v>2826989</v>
      </c>
      <c r="H7" s="13">
        <v>3015020</v>
      </c>
      <c r="I7" s="13">
        <v>3018778</v>
      </c>
      <c r="J7" s="13">
        <v>3037798</v>
      </c>
      <c r="K7" s="13">
        <v>3050054</v>
      </c>
      <c r="L7" s="13">
        <v>3117300</v>
      </c>
      <c r="M7" s="13">
        <v>3135538</v>
      </c>
      <c r="N7" s="13">
        <v>3184859</v>
      </c>
      <c r="O7" s="13">
        <v>3373145</v>
      </c>
      <c r="P7" s="13">
        <v>3406073</v>
      </c>
      <c r="Q7" s="13">
        <v>3468375</v>
      </c>
    </row>
    <row r="8" spans="1:19">
      <c r="A8" s="1"/>
      <c r="B8" s="1" t="s">
        <v>37</v>
      </c>
      <c r="C8" s="1"/>
      <c r="D8" s="1"/>
      <c r="E8" s="1"/>
      <c r="F8" s="13">
        <v>2450</v>
      </c>
      <c r="G8" s="13">
        <v>2450</v>
      </c>
      <c r="H8" s="13">
        <v>2450</v>
      </c>
      <c r="I8" s="13">
        <v>2450</v>
      </c>
      <c r="J8" s="13">
        <v>2450</v>
      </c>
      <c r="K8" s="13">
        <v>2450</v>
      </c>
      <c r="L8" s="13">
        <v>2450</v>
      </c>
      <c r="M8" s="13">
        <v>2450</v>
      </c>
      <c r="N8" s="13">
        <v>2450</v>
      </c>
      <c r="O8" s="13">
        <v>2450</v>
      </c>
      <c r="P8" s="13">
        <v>2450</v>
      </c>
      <c r="Q8" s="13">
        <v>2450</v>
      </c>
    </row>
    <row r="9" spans="1:19">
      <c r="C9" s="2" t="s">
        <v>10</v>
      </c>
      <c r="F9" s="14">
        <v>156</v>
      </c>
      <c r="G9" s="14">
        <v>156</v>
      </c>
      <c r="H9" s="14">
        <v>156</v>
      </c>
      <c r="I9" s="14">
        <v>156</v>
      </c>
      <c r="J9" s="14">
        <v>156</v>
      </c>
      <c r="K9" s="14">
        <v>156</v>
      </c>
      <c r="L9" s="14">
        <v>156</v>
      </c>
      <c r="M9" s="14">
        <v>156</v>
      </c>
      <c r="N9" s="14">
        <v>156</v>
      </c>
      <c r="O9" s="14">
        <v>156</v>
      </c>
      <c r="P9" s="14">
        <v>156</v>
      </c>
      <c r="Q9" s="14">
        <v>156</v>
      </c>
      <c r="S9" s="15"/>
    </row>
    <row r="10" spans="1:19">
      <c r="D10" s="2" t="s">
        <v>2</v>
      </c>
      <c r="F10" s="15">
        <v>156</v>
      </c>
      <c r="G10" s="15">
        <v>156</v>
      </c>
      <c r="H10" s="15">
        <v>156</v>
      </c>
      <c r="I10" s="15">
        <v>156</v>
      </c>
      <c r="J10" s="15">
        <v>156</v>
      </c>
      <c r="K10" s="15">
        <v>156</v>
      </c>
      <c r="L10" s="15">
        <v>156</v>
      </c>
      <c r="M10" s="15">
        <v>156</v>
      </c>
      <c r="N10" s="15">
        <v>156</v>
      </c>
      <c r="O10" s="15">
        <v>156</v>
      </c>
      <c r="P10" s="15">
        <v>156</v>
      </c>
      <c r="Q10" s="15">
        <v>156</v>
      </c>
    </row>
    <row r="11" spans="1:19">
      <c r="D11" s="2" t="s">
        <v>3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</row>
    <row r="12" spans="1:19">
      <c r="C12" s="2" t="s">
        <v>4</v>
      </c>
      <c r="F12" s="14">
        <v>2294</v>
      </c>
      <c r="G12" s="14">
        <v>2294</v>
      </c>
      <c r="H12" s="14">
        <v>2294</v>
      </c>
      <c r="I12" s="14">
        <v>2294</v>
      </c>
      <c r="J12" s="14">
        <v>2294</v>
      </c>
      <c r="K12" s="14">
        <v>2294</v>
      </c>
      <c r="L12" s="14">
        <v>2294</v>
      </c>
      <c r="M12" s="14">
        <v>2294</v>
      </c>
      <c r="N12" s="14">
        <v>2294</v>
      </c>
      <c r="O12" s="14">
        <v>2294</v>
      </c>
      <c r="P12" s="14">
        <v>2294</v>
      </c>
      <c r="Q12" s="14">
        <v>2294</v>
      </c>
    </row>
    <row r="13" spans="1:19" hidden="1">
      <c r="D13" s="2" t="s">
        <v>12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</row>
    <row r="14" spans="1:19">
      <c r="D14" s="2" t="s">
        <v>13</v>
      </c>
      <c r="F14" s="15">
        <v>2288</v>
      </c>
      <c r="G14" s="15">
        <v>2288</v>
      </c>
      <c r="H14" s="15">
        <v>2288</v>
      </c>
      <c r="I14" s="15">
        <v>2288</v>
      </c>
      <c r="J14" s="15">
        <v>2288</v>
      </c>
      <c r="K14" s="15">
        <v>2288</v>
      </c>
      <c r="L14" s="15">
        <v>2288</v>
      </c>
      <c r="M14" s="15">
        <v>2288</v>
      </c>
      <c r="N14" s="15">
        <v>2288</v>
      </c>
      <c r="O14" s="15">
        <v>2288</v>
      </c>
      <c r="P14" s="15">
        <v>2288</v>
      </c>
      <c r="Q14" s="15">
        <v>2288</v>
      </c>
    </row>
    <row r="15" spans="1:19" hidden="1">
      <c r="D15" s="2" t="s">
        <v>14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</row>
    <row r="16" spans="1:19">
      <c r="D16" s="2" t="s">
        <v>15</v>
      </c>
      <c r="F16" s="15">
        <v>6</v>
      </c>
      <c r="G16" s="15">
        <v>6</v>
      </c>
      <c r="H16" s="15">
        <v>6</v>
      </c>
      <c r="I16" s="15">
        <v>6</v>
      </c>
      <c r="J16" s="15">
        <v>6</v>
      </c>
      <c r="K16" s="15">
        <v>6</v>
      </c>
      <c r="L16" s="15">
        <v>6</v>
      </c>
      <c r="M16" s="15">
        <v>6</v>
      </c>
      <c r="N16" s="15">
        <v>6</v>
      </c>
      <c r="O16" s="15">
        <v>6</v>
      </c>
      <c r="P16" s="15">
        <v>6</v>
      </c>
      <c r="Q16" s="15">
        <v>6</v>
      </c>
    </row>
    <row r="17" spans="1:17" ht="9.75" customHeight="1"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s="1" customFormat="1" ht="15" customHeight="1">
      <c r="B18" s="1" t="s">
        <v>38</v>
      </c>
      <c r="F18" s="16">
        <v>2874908</v>
      </c>
      <c r="G18" s="16">
        <v>2824539</v>
      </c>
      <c r="H18" s="16">
        <v>3012570</v>
      </c>
      <c r="I18" s="16">
        <v>3016328</v>
      </c>
      <c r="J18" s="16">
        <v>3035348</v>
      </c>
      <c r="K18" s="16">
        <v>3047604</v>
      </c>
      <c r="L18" s="16">
        <v>3114850</v>
      </c>
      <c r="M18" s="16">
        <v>3133088</v>
      </c>
      <c r="N18" s="16">
        <v>3182409</v>
      </c>
      <c r="O18" s="16">
        <v>3370695</v>
      </c>
      <c r="P18" s="16">
        <v>3403623</v>
      </c>
      <c r="Q18" s="16">
        <v>3465925</v>
      </c>
    </row>
    <row r="19" spans="1:17" ht="15" customHeight="1"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5" customHeight="1">
      <c r="A20" s="1" t="s">
        <v>41</v>
      </c>
      <c r="B20" s="1"/>
      <c r="C20" s="1"/>
      <c r="D20" s="1"/>
      <c r="E20" s="1"/>
      <c r="F20" s="13">
        <v>2115921</v>
      </c>
      <c r="G20" s="13">
        <v>2085718</v>
      </c>
      <c r="H20" s="13">
        <v>2073919</v>
      </c>
      <c r="I20" s="13">
        <v>2056464</v>
      </c>
      <c r="J20" s="13">
        <v>2109467</v>
      </c>
      <c r="K20" s="13">
        <v>2050547</v>
      </c>
      <c r="L20" s="13">
        <v>2039365</v>
      </c>
      <c r="M20" s="13">
        <v>2045572</v>
      </c>
      <c r="N20" s="13">
        <v>2028193</v>
      </c>
      <c r="O20" s="13">
        <v>1986231</v>
      </c>
      <c r="P20" s="13">
        <v>1974883</v>
      </c>
      <c r="Q20" s="13">
        <v>1968729</v>
      </c>
    </row>
    <row r="21" spans="1:17">
      <c r="A21" s="1"/>
      <c r="B21" s="1" t="s">
        <v>37</v>
      </c>
      <c r="C21" s="1"/>
      <c r="D21" s="1"/>
      <c r="E21" s="1"/>
      <c r="F21" s="13">
        <v>856976</v>
      </c>
      <c r="G21" s="13">
        <v>835717</v>
      </c>
      <c r="H21" s="13">
        <v>822858</v>
      </c>
      <c r="I21" s="13">
        <v>820291</v>
      </c>
      <c r="J21" s="13">
        <v>843418</v>
      </c>
      <c r="K21" s="13">
        <v>815469</v>
      </c>
      <c r="L21" s="13">
        <v>814544</v>
      </c>
      <c r="M21" s="13">
        <v>812494</v>
      </c>
      <c r="N21" s="13">
        <v>804305</v>
      </c>
      <c r="O21" s="13">
        <v>781050</v>
      </c>
      <c r="P21" s="13">
        <v>774311</v>
      </c>
      <c r="Q21" s="13">
        <v>764653</v>
      </c>
    </row>
    <row r="22" spans="1:17" ht="15.75" customHeight="1">
      <c r="C22" s="2" t="s">
        <v>10</v>
      </c>
      <c r="F22" s="14">
        <v>856971</v>
      </c>
      <c r="G22" s="14">
        <v>835712</v>
      </c>
      <c r="H22" s="14">
        <v>822853</v>
      </c>
      <c r="I22" s="14">
        <v>820286</v>
      </c>
      <c r="J22" s="14">
        <v>843413</v>
      </c>
      <c r="K22" s="14">
        <v>815464</v>
      </c>
      <c r="L22" s="14">
        <v>814539</v>
      </c>
      <c r="M22" s="14">
        <v>812489</v>
      </c>
      <c r="N22" s="14">
        <v>804300</v>
      </c>
      <c r="O22" s="14">
        <v>781045</v>
      </c>
      <c r="P22" s="14">
        <v>774306</v>
      </c>
      <c r="Q22" s="14">
        <v>764651</v>
      </c>
    </row>
    <row r="23" spans="1:17">
      <c r="D23" s="2" t="s">
        <v>2</v>
      </c>
      <c r="F23" s="15">
        <v>792001</v>
      </c>
      <c r="G23" s="15">
        <v>774158</v>
      </c>
      <c r="H23" s="15">
        <v>762906</v>
      </c>
      <c r="I23" s="15">
        <v>760258</v>
      </c>
      <c r="J23" s="15">
        <v>781248</v>
      </c>
      <c r="K23" s="15">
        <v>755513</v>
      </c>
      <c r="L23" s="15">
        <v>754538</v>
      </c>
      <c r="M23" s="15">
        <v>752710</v>
      </c>
      <c r="N23" s="15">
        <v>746833</v>
      </c>
      <c r="O23" s="15">
        <v>725912</v>
      </c>
      <c r="P23" s="15">
        <v>721010</v>
      </c>
      <c r="Q23" s="15">
        <v>713416</v>
      </c>
    </row>
    <row r="24" spans="1:17">
      <c r="D24" s="2" t="s">
        <v>3</v>
      </c>
      <c r="F24" s="15">
        <v>64970</v>
      </c>
      <c r="G24" s="15">
        <v>61554</v>
      </c>
      <c r="H24" s="15">
        <v>59947</v>
      </c>
      <c r="I24" s="15">
        <v>60028</v>
      </c>
      <c r="J24" s="15">
        <v>62165</v>
      </c>
      <c r="K24" s="15">
        <v>59951</v>
      </c>
      <c r="L24" s="15">
        <v>60001</v>
      </c>
      <c r="M24" s="15">
        <v>59779</v>
      </c>
      <c r="N24" s="15">
        <v>57467</v>
      </c>
      <c r="O24" s="15">
        <v>55133</v>
      </c>
      <c r="P24" s="15">
        <v>53296</v>
      </c>
      <c r="Q24" s="15">
        <v>51235</v>
      </c>
    </row>
    <row r="25" spans="1:17">
      <c r="C25" s="2" t="s">
        <v>4</v>
      </c>
      <c r="F25" s="14">
        <v>5</v>
      </c>
      <c r="G25" s="14">
        <v>5</v>
      </c>
      <c r="H25" s="14">
        <v>5</v>
      </c>
      <c r="I25" s="14">
        <v>5</v>
      </c>
      <c r="J25" s="14">
        <v>5</v>
      </c>
      <c r="K25" s="14">
        <v>5</v>
      </c>
      <c r="L25" s="14">
        <v>5</v>
      </c>
      <c r="M25" s="14">
        <v>5</v>
      </c>
      <c r="N25" s="14">
        <v>5</v>
      </c>
      <c r="O25" s="14">
        <v>5</v>
      </c>
      <c r="P25" s="14">
        <v>5</v>
      </c>
      <c r="Q25" s="14">
        <v>2</v>
      </c>
    </row>
    <row r="26" spans="1:17" hidden="1">
      <c r="D26" s="2" t="s">
        <v>12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</row>
    <row r="27" spans="1:17" hidden="1">
      <c r="D27" s="2" t="s">
        <v>13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</row>
    <row r="28" spans="1:17" hidden="1">
      <c r="D28" s="2" t="s">
        <v>14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</row>
    <row r="29" spans="1:17">
      <c r="D29" s="2" t="s">
        <v>15</v>
      </c>
      <c r="F29" s="15">
        <v>5</v>
      </c>
      <c r="G29" s="15">
        <v>5</v>
      </c>
      <c r="H29" s="15">
        <v>5</v>
      </c>
      <c r="I29" s="15">
        <v>5</v>
      </c>
      <c r="J29" s="15">
        <v>5</v>
      </c>
      <c r="K29" s="15">
        <v>5</v>
      </c>
      <c r="L29" s="15">
        <v>5</v>
      </c>
      <c r="M29" s="15">
        <v>5</v>
      </c>
      <c r="N29" s="15">
        <v>5</v>
      </c>
      <c r="O29" s="15">
        <v>5</v>
      </c>
      <c r="P29" s="15">
        <v>5</v>
      </c>
      <c r="Q29" s="15">
        <v>2</v>
      </c>
    </row>
    <row r="30" spans="1:17" hidden="1">
      <c r="D30" s="2" t="s">
        <v>16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</row>
    <row r="31" spans="1:17" ht="11.25" customHeight="1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s="1" customFormat="1">
      <c r="B32" s="1" t="s">
        <v>38</v>
      </c>
      <c r="F32" s="16">
        <v>1258945</v>
      </c>
      <c r="G32" s="16">
        <v>1250001</v>
      </c>
      <c r="H32" s="16">
        <v>1251061</v>
      </c>
      <c r="I32" s="16">
        <v>1236173</v>
      </c>
      <c r="J32" s="16">
        <v>1266049</v>
      </c>
      <c r="K32" s="16">
        <v>1235078</v>
      </c>
      <c r="L32" s="16">
        <v>1224821</v>
      </c>
      <c r="M32" s="16">
        <v>1233078</v>
      </c>
      <c r="N32" s="16">
        <v>1223888</v>
      </c>
      <c r="O32" s="16">
        <v>1205181</v>
      </c>
      <c r="P32" s="16">
        <v>1200572</v>
      </c>
      <c r="Q32" s="16">
        <v>1204076</v>
      </c>
    </row>
    <row r="34" spans="1:17">
      <c r="C34" s="1" t="s">
        <v>7</v>
      </c>
      <c r="D34" s="1"/>
      <c r="E34" s="1"/>
      <c r="F34" s="41">
        <v>4993279</v>
      </c>
      <c r="G34" s="41">
        <v>4912707</v>
      </c>
      <c r="H34" s="41">
        <v>5088939</v>
      </c>
      <c r="I34" s="41">
        <v>5075242</v>
      </c>
      <c r="J34" s="41">
        <v>5147265</v>
      </c>
      <c r="K34" s="41">
        <v>5100601</v>
      </c>
      <c r="L34" s="41">
        <v>5156665</v>
      </c>
      <c r="M34" s="41">
        <v>5181110</v>
      </c>
      <c r="N34" s="41">
        <v>5213052</v>
      </c>
      <c r="O34" s="41">
        <v>5359376</v>
      </c>
      <c r="P34" s="41">
        <v>5380956</v>
      </c>
      <c r="Q34" s="41">
        <v>5437104</v>
      </c>
    </row>
    <row r="35" spans="1:17">
      <c r="A35" s="8"/>
      <c r="B35" s="9"/>
      <c r="C35" s="9"/>
      <c r="D35" s="9"/>
    </row>
    <row r="36" spans="1:17">
      <c r="A36" s="2" t="s">
        <v>11</v>
      </c>
    </row>
    <row r="37" spans="1:17">
      <c r="A37" s="1"/>
    </row>
    <row r="38" spans="1:17" s="11" customFormat="1">
      <c r="A38" s="10" t="s">
        <v>8</v>
      </c>
      <c r="B38" s="10"/>
      <c r="C38" s="10"/>
      <c r="D38" s="10"/>
      <c r="E38" s="10"/>
      <c r="F38" s="71">
        <v>43.1</v>
      </c>
      <c r="G38" s="71">
        <v>42.85</v>
      </c>
      <c r="H38" s="71">
        <v>42.95</v>
      </c>
      <c r="I38" s="71">
        <v>42.35</v>
      </c>
      <c r="J38" s="71">
        <v>43.5</v>
      </c>
      <c r="K38" s="71">
        <v>42.35</v>
      </c>
      <c r="L38" s="71">
        <v>41.95</v>
      </c>
      <c r="M38" s="71">
        <v>42.25</v>
      </c>
      <c r="N38" s="71">
        <v>41.85</v>
      </c>
      <c r="O38" s="71">
        <v>41.2</v>
      </c>
      <c r="P38" s="71">
        <v>40.9</v>
      </c>
      <c r="Q38" s="71">
        <v>41.1</v>
      </c>
    </row>
    <row r="39" spans="1:17" s="11" customFormat="1">
      <c r="A39" s="10"/>
      <c r="B39" s="10"/>
      <c r="C39" s="10"/>
      <c r="D39" s="10"/>
      <c r="E39" s="10"/>
    </row>
    <row r="40" spans="1:17" s="11" customFormat="1">
      <c r="A40" s="10"/>
      <c r="B40" s="10"/>
      <c r="C40" s="10"/>
      <c r="D40" s="10"/>
      <c r="E40" s="10"/>
    </row>
    <row r="41" spans="1:17">
      <c r="A41" s="11" t="s">
        <v>22</v>
      </c>
    </row>
    <row r="42" spans="1:17">
      <c r="A42" s="11"/>
    </row>
    <row r="43" spans="1:17">
      <c r="A43" s="48"/>
      <c r="E43" s="11"/>
    </row>
    <row r="44" spans="1:17">
      <c r="A44" s="12"/>
      <c r="E44" s="11"/>
    </row>
    <row r="45" spans="1:17">
      <c r="A45" s="12"/>
      <c r="E45" s="11"/>
    </row>
    <row r="46" spans="1:17">
      <c r="A46" s="12"/>
      <c r="E46" s="11"/>
    </row>
    <row r="47" spans="1:17">
      <c r="A47" s="12"/>
      <c r="E47" s="11"/>
    </row>
    <row r="48" spans="1:17">
      <c r="A48" s="12"/>
      <c r="E48" s="11"/>
    </row>
    <row r="49" spans="1:17">
      <c r="A49" s="12"/>
      <c r="E49" s="11"/>
    </row>
    <row r="50" spans="1:17">
      <c r="A50" s="12"/>
      <c r="E50" s="11"/>
    </row>
    <row r="51" spans="1:17">
      <c r="A51" s="12"/>
      <c r="E51" s="11"/>
    </row>
    <row r="52" spans="1:17">
      <c r="A52" s="12"/>
      <c r="E52" s="11"/>
    </row>
    <row r="53" spans="1:17">
      <c r="A53" s="12"/>
      <c r="E53" s="11"/>
    </row>
    <row r="54" spans="1:17">
      <c r="A54" s="12"/>
      <c r="E54" s="11"/>
    </row>
    <row r="55" spans="1:17">
      <c r="A55" s="12"/>
      <c r="E55" s="11"/>
    </row>
    <row r="56" spans="1:17">
      <c r="A56" s="12"/>
      <c r="E56" s="11"/>
    </row>
    <row r="57" spans="1:17">
      <c r="A57" s="12"/>
      <c r="E57" s="11"/>
    </row>
    <row r="58" spans="1:17">
      <c r="A58" s="12"/>
      <c r="E58" s="11"/>
    </row>
    <row r="59" spans="1:17">
      <c r="A59" s="12"/>
      <c r="E59" s="11"/>
    </row>
    <row r="60" spans="1:17">
      <c r="A60" s="12"/>
      <c r="E60" s="11"/>
    </row>
    <row r="61" spans="1:17">
      <c r="A61" s="12"/>
      <c r="E61" s="11"/>
    </row>
    <row r="62" spans="1:17" hidden="1">
      <c r="A62" s="19" t="s">
        <v>52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spans="1:17" hidden="1">
      <c r="A63" s="180" t="s">
        <v>53</v>
      </c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</row>
    <row r="64" spans="1:17" hidden="1">
      <c r="A64" s="4" t="s">
        <v>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idden="1">
      <c r="A65" s="73"/>
      <c r="B65" s="73"/>
      <c r="C65" s="73"/>
      <c r="D65" s="73"/>
      <c r="E65" s="73"/>
      <c r="F65" s="73"/>
    </row>
    <row r="66" spans="1:17" hidden="1">
      <c r="A66" s="73"/>
      <c r="B66" s="73"/>
      <c r="C66" s="73"/>
      <c r="D66" s="73"/>
      <c r="E66" s="73"/>
      <c r="F66" s="73"/>
    </row>
    <row r="67" spans="1:17" ht="16.5" hidden="1" customHeight="1">
      <c r="A67" s="182" t="s">
        <v>1</v>
      </c>
      <c r="B67" s="183"/>
      <c r="C67" s="183"/>
      <c r="D67" s="183"/>
      <c r="E67" s="183"/>
      <c r="F67" s="74" t="s">
        <v>5</v>
      </c>
      <c r="G67" s="74" t="s">
        <v>23</v>
      </c>
      <c r="H67" s="74" t="s">
        <v>24</v>
      </c>
      <c r="I67" s="74" t="s">
        <v>26</v>
      </c>
      <c r="J67" s="74" t="s">
        <v>26</v>
      </c>
      <c r="K67" s="74" t="s">
        <v>34</v>
      </c>
      <c r="L67" s="74" t="s">
        <v>28</v>
      </c>
      <c r="M67" s="74" t="s">
        <v>29</v>
      </c>
      <c r="N67" s="74" t="s">
        <v>30</v>
      </c>
      <c r="O67" s="74" t="s">
        <v>31</v>
      </c>
      <c r="P67" s="74" t="s">
        <v>32</v>
      </c>
      <c r="Q67" s="74" t="s">
        <v>32</v>
      </c>
    </row>
    <row r="68" spans="1:17" hidden="1"/>
    <row r="69" spans="1:17" hidden="1">
      <c r="A69" s="1" t="s">
        <v>17</v>
      </c>
      <c r="B69" s="1"/>
      <c r="C69" s="1"/>
      <c r="D69" s="1"/>
      <c r="E69" s="1"/>
      <c r="F69" s="13">
        <v>549746</v>
      </c>
      <c r="G69" s="13">
        <v>545917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</row>
    <row r="70" spans="1:17" hidden="1">
      <c r="A70" s="1"/>
      <c r="B70" s="1"/>
      <c r="C70" s="1"/>
      <c r="D70" s="1"/>
      <c r="E70" s="1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hidden="1">
      <c r="A71" s="1"/>
      <c r="B71" s="1" t="s">
        <v>18</v>
      </c>
      <c r="C71" s="1"/>
      <c r="D71" s="1"/>
      <c r="E71" s="1"/>
      <c r="F71" s="13">
        <v>100448</v>
      </c>
      <c r="G71" s="13">
        <v>100447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</row>
    <row r="72" spans="1:17" hidden="1">
      <c r="A72" s="1"/>
      <c r="B72" s="1"/>
      <c r="C72" s="1"/>
      <c r="D72" s="1"/>
      <c r="E72" s="1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hidden="1">
      <c r="C73" s="2" t="s">
        <v>9</v>
      </c>
      <c r="F73" s="15">
        <v>100312</v>
      </c>
      <c r="G73" s="15">
        <v>100311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</row>
    <row r="74" spans="1:17" hidden="1">
      <c r="C74" s="2" t="s">
        <v>19</v>
      </c>
      <c r="F74" s="14">
        <v>136</v>
      </c>
      <c r="G74" s="14">
        <v>136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</row>
    <row r="75" spans="1:17" hidden="1">
      <c r="D75" s="2" t="s">
        <v>20</v>
      </c>
      <c r="F75" s="15">
        <v>37</v>
      </c>
      <c r="G75" s="15">
        <v>37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</row>
    <row r="76" spans="1:17" hidden="1">
      <c r="D76" s="2" t="s">
        <v>15</v>
      </c>
      <c r="F76" s="15">
        <v>99</v>
      </c>
      <c r="G76" s="15">
        <v>99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</row>
    <row r="77" spans="1:17" hidden="1"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spans="1:17" hidden="1">
      <c r="A78" s="1"/>
      <c r="B78" s="1" t="s">
        <v>54</v>
      </c>
      <c r="C78" s="1"/>
      <c r="D78" s="1"/>
      <c r="E78" s="1"/>
      <c r="F78" s="13">
        <v>449298</v>
      </c>
      <c r="G78" s="13">
        <v>445470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</row>
    <row r="79" spans="1:17" hidden="1">
      <c r="A79" s="1"/>
      <c r="B79" s="1"/>
      <c r="C79" s="1"/>
      <c r="D79" s="1"/>
      <c r="E79" s="1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hidden="1">
      <c r="C80" s="2" t="s">
        <v>9</v>
      </c>
      <c r="F80" s="15">
        <v>445511</v>
      </c>
      <c r="G80" s="15">
        <v>441716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</row>
    <row r="81" spans="1:17" hidden="1">
      <c r="C81" s="2" t="s">
        <v>19</v>
      </c>
      <c r="F81" s="14">
        <v>3787</v>
      </c>
      <c r="G81" s="14">
        <v>3754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</row>
    <row r="82" spans="1:17" hidden="1">
      <c r="D82" s="2" t="s">
        <v>12</v>
      </c>
      <c r="F82" s="15">
        <v>3753</v>
      </c>
      <c r="G82" s="15">
        <v>3719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</row>
    <row r="83" spans="1:17" hidden="1">
      <c r="D83" s="2" t="s">
        <v>13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</row>
    <row r="84" spans="1:17" hidden="1">
      <c r="D84" s="2" t="s">
        <v>21</v>
      </c>
      <c r="F84" s="15">
        <v>34</v>
      </c>
      <c r="G84" s="15">
        <v>35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</row>
    <row r="85" spans="1:17" hidden="1">
      <c r="D85" s="2" t="s">
        <v>15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hidden="1"/>
    <row r="87" spans="1:17" hidden="1"/>
    <row r="88" spans="1:17" hidden="1">
      <c r="A88" s="8"/>
      <c r="B88" s="9"/>
      <c r="C88" s="9"/>
      <c r="D88" s="9"/>
    </row>
    <row r="89" spans="1:17" hidden="1">
      <c r="A89" s="2" t="s">
        <v>11</v>
      </c>
    </row>
    <row r="90" spans="1:17" hidden="1"/>
    <row r="91" spans="1:17" hidden="1"/>
    <row r="92" spans="1:17" hidden="1"/>
    <row r="93" spans="1:17" hidden="1"/>
    <row r="94" spans="1:17" hidden="1"/>
    <row r="95" spans="1:17" hidden="1"/>
    <row r="96" spans="1:17" hidden="1"/>
    <row r="97" hidden="1"/>
    <row r="98" hidden="1"/>
    <row r="99" hidden="1"/>
    <row r="100" hidden="1"/>
    <row r="101" hidden="1"/>
  </sheetData>
  <mergeCells count="3">
    <mergeCell ref="A67:E67"/>
    <mergeCell ref="A5:E5"/>
    <mergeCell ref="A63:Q63"/>
  </mergeCells>
  <printOptions horizontalCentered="1"/>
  <pageMargins left="0.23622047244094491" right="0.23622047244094491" top="0.74803149606299213" bottom="0.74803149606299213" header="0.31496062992125984" footer="0.31496062992125984"/>
  <pageSetup paperSize="15" scale="73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6277-FABF-4DA1-B86B-8DA4D190FA0F}">
  <sheetPr>
    <pageSetUpPr fitToPage="1"/>
  </sheetPr>
  <dimension ref="A1:IR93"/>
  <sheetViews>
    <sheetView workbookViewId="0">
      <pane xSplit="5" ySplit="6" topLeftCell="F7" activePane="bottomRight" state="frozen"/>
      <selection pane="topRight" activeCell="F1" sqref="F1"/>
      <selection pane="bottomLeft" activeCell="A8" sqref="A8"/>
      <selection pane="bottomRight" activeCell="T80" sqref="T80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0.7109375" style="2" customWidth="1"/>
    <col min="6" max="6" width="9" style="2" customWidth="1"/>
    <col min="7" max="7" width="8.42578125" style="2" customWidth="1"/>
    <col min="8" max="8" width="8.140625" style="2" customWidth="1"/>
    <col min="9" max="9" width="7.7109375" style="2" customWidth="1"/>
    <col min="10" max="10" width="8.28515625" style="2" customWidth="1"/>
    <col min="11" max="11" width="7.7109375" style="2" customWidth="1"/>
    <col min="12" max="12" width="7.28515625" style="2" customWidth="1"/>
    <col min="13" max="13" width="8.5703125" style="2" customWidth="1"/>
    <col min="14" max="14" width="7.7109375" style="2" customWidth="1"/>
    <col min="15" max="15" width="7.140625" style="2" customWidth="1"/>
    <col min="16" max="16" width="8.140625" style="2" customWidth="1"/>
    <col min="17" max="17" width="8" style="2" customWidth="1"/>
    <col min="18" max="18" width="1.5703125" style="2" customWidth="1"/>
    <col min="19" max="19" width="24.28515625" style="2" customWidth="1"/>
    <col min="20" max="16384" width="9.140625" style="2"/>
  </cols>
  <sheetData>
    <row r="1" spans="1:17" hidden="1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idden="1">
      <c r="A2" s="180" t="s">
        <v>53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</row>
    <row r="3" spans="1:17" hidden="1">
      <c r="A3" s="181" t="s">
        <v>0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</row>
    <row r="4" spans="1:17" hidden="1">
      <c r="A4" s="4"/>
    </row>
    <row r="5" spans="1:17" hidden="1">
      <c r="A5" s="4"/>
    </row>
    <row r="6" spans="1:17" ht="16.5" hidden="1" customHeight="1">
      <c r="A6" s="182" t="s">
        <v>1</v>
      </c>
      <c r="B6" s="183"/>
      <c r="C6" s="183"/>
      <c r="D6" s="183"/>
      <c r="E6" s="183"/>
      <c r="F6" s="74" t="s">
        <v>5</v>
      </c>
      <c r="G6" s="74" t="s">
        <v>23</v>
      </c>
      <c r="H6" s="74" t="s">
        <v>24</v>
      </c>
      <c r="I6" s="74" t="s">
        <v>26</v>
      </c>
      <c r="J6" s="74" t="s">
        <v>26</v>
      </c>
      <c r="K6" s="74" t="s">
        <v>34</v>
      </c>
      <c r="L6" s="74" t="s">
        <v>28</v>
      </c>
      <c r="M6" s="74" t="s">
        <v>29</v>
      </c>
      <c r="N6" s="74" t="s">
        <v>30</v>
      </c>
      <c r="O6" s="74" t="s">
        <v>31</v>
      </c>
      <c r="P6" s="74" t="s">
        <v>32</v>
      </c>
      <c r="Q6" s="74" t="s">
        <v>32</v>
      </c>
    </row>
    <row r="7" spans="1:17" ht="16.5" hidden="1" customHeight="1">
      <c r="A7" s="46"/>
      <c r="B7" s="46"/>
      <c r="C7" s="46"/>
      <c r="D7" s="46"/>
      <c r="E7" s="46"/>
      <c r="F7" s="47"/>
    </row>
    <row r="8" spans="1:17" ht="14.25" hidden="1" customHeight="1">
      <c r="A8" s="1" t="s">
        <v>6</v>
      </c>
      <c r="B8" s="1"/>
      <c r="C8" s="1"/>
      <c r="D8" s="1"/>
      <c r="E8" s="1"/>
      <c r="F8" s="13">
        <f>+F9+F14</f>
        <v>2674899</v>
      </c>
      <c r="G8" s="13">
        <f t="shared" ref="G8:Q8" si="0">+G9+G14</f>
        <v>2664234</v>
      </c>
      <c r="H8" s="13">
        <f t="shared" si="0"/>
        <v>0</v>
      </c>
      <c r="I8" s="13">
        <f>+I9+I14</f>
        <v>0</v>
      </c>
      <c r="J8" s="13">
        <f t="shared" si="0"/>
        <v>0</v>
      </c>
      <c r="K8" s="13">
        <f t="shared" si="0"/>
        <v>0</v>
      </c>
      <c r="L8" s="13">
        <f t="shared" si="0"/>
        <v>0</v>
      </c>
      <c r="M8" s="13">
        <f t="shared" si="0"/>
        <v>0</v>
      </c>
      <c r="N8" s="13">
        <f t="shared" si="0"/>
        <v>0</v>
      </c>
      <c r="O8" s="13">
        <f t="shared" si="0"/>
        <v>0</v>
      </c>
      <c r="P8" s="13">
        <f>+P9+P14</f>
        <v>0</v>
      </c>
      <c r="Q8" s="13">
        <f t="shared" si="0"/>
        <v>0</v>
      </c>
    </row>
    <row r="9" spans="1:17" hidden="1">
      <c r="B9" s="2" t="s">
        <v>9</v>
      </c>
      <c r="F9" s="14">
        <f>+F10+F11+F12</f>
        <v>2672605</v>
      </c>
      <c r="G9" s="14">
        <f t="shared" ref="G9:Q9" si="1">+G10+G11+G12</f>
        <v>2661940</v>
      </c>
      <c r="H9" s="14">
        <f t="shared" si="1"/>
        <v>0</v>
      </c>
      <c r="I9" s="14">
        <f>+I10+I11+I12</f>
        <v>0</v>
      </c>
      <c r="J9" s="14">
        <f t="shared" si="1"/>
        <v>0</v>
      </c>
      <c r="K9" s="14">
        <f t="shared" si="1"/>
        <v>0</v>
      </c>
      <c r="L9" s="14">
        <f t="shared" si="1"/>
        <v>0</v>
      </c>
      <c r="M9" s="14">
        <f t="shared" si="1"/>
        <v>0</v>
      </c>
      <c r="N9" s="14">
        <f t="shared" si="1"/>
        <v>0</v>
      </c>
      <c r="O9" s="14">
        <f t="shared" si="1"/>
        <v>0</v>
      </c>
      <c r="P9" s="14">
        <f>+P10+P11+P12</f>
        <v>0</v>
      </c>
      <c r="Q9" s="14">
        <f t="shared" si="1"/>
        <v>0</v>
      </c>
    </row>
    <row r="10" spans="1:17" ht="15" hidden="1" customHeight="1">
      <c r="C10" s="2" t="s">
        <v>169</v>
      </c>
      <c r="F10" s="15">
        <v>2665806</v>
      </c>
      <c r="G10" s="15">
        <v>2655141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</row>
    <row r="11" spans="1:17" hidden="1">
      <c r="C11" s="2" t="s">
        <v>2</v>
      </c>
      <c r="F11" s="15">
        <v>6799</v>
      </c>
      <c r="G11" s="15">
        <v>6799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</row>
    <row r="12" spans="1:17" hidden="1">
      <c r="C12" s="2" t="s">
        <v>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</row>
    <row r="13" spans="1:17" ht="8.25" hidden="1" customHeight="1"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hidden="1">
      <c r="B14" s="2" t="s">
        <v>4</v>
      </c>
      <c r="F14" s="14">
        <f>SUM(F15:F18)</f>
        <v>2294</v>
      </c>
      <c r="G14" s="14">
        <f t="shared" ref="G14:Q14" si="2">SUM(G15:G18)</f>
        <v>2294</v>
      </c>
      <c r="H14" s="14">
        <f t="shared" si="2"/>
        <v>0</v>
      </c>
      <c r="I14" s="14">
        <f>SUM(I15:I18)</f>
        <v>0</v>
      </c>
      <c r="J14" s="14">
        <f t="shared" si="2"/>
        <v>0</v>
      </c>
      <c r="K14" s="14">
        <f t="shared" si="2"/>
        <v>0</v>
      </c>
      <c r="L14" s="14">
        <f t="shared" si="2"/>
        <v>0</v>
      </c>
      <c r="M14" s="14">
        <f t="shared" si="2"/>
        <v>0</v>
      </c>
      <c r="N14" s="14">
        <f t="shared" si="2"/>
        <v>0</v>
      </c>
      <c r="O14" s="14">
        <f t="shared" si="2"/>
        <v>0</v>
      </c>
      <c r="P14" s="14">
        <f>SUM(P15:P18)</f>
        <v>0</v>
      </c>
      <c r="Q14" s="14">
        <f t="shared" si="2"/>
        <v>0</v>
      </c>
    </row>
    <row r="15" spans="1:17" hidden="1">
      <c r="C15" s="2" t="s">
        <v>12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</row>
    <row r="16" spans="1:17" hidden="1">
      <c r="C16" s="2" t="s">
        <v>13</v>
      </c>
      <c r="F16" s="15">
        <v>2288</v>
      </c>
      <c r="G16" s="15">
        <v>2288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</row>
    <row r="17" spans="1:17" hidden="1">
      <c r="C17" s="2" t="s">
        <v>14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</row>
    <row r="18" spans="1:17" hidden="1">
      <c r="C18" s="2" t="s">
        <v>15</v>
      </c>
      <c r="F18" s="15">
        <v>6</v>
      </c>
      <c r="G18" s="15">
        <v>6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</row>
    <row r="19" spans="1:17" hidden="1"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5" hidden="1" customHeight="1">
      <c r="A20" s="1" t="s">
        <v>170</v>
      </c>
      <c r="B20" s="1"/>
      <c r="C20" s="1"/>
      <c r="D20" s="1"/>
      <c r="E20" s="1"/>
      <c r="F20" s="13">
        <f>+F21+F25+F34</f>
        <v>2065756</v>
      </c>
      <c r="G20" s="13">
        <f t="shared" ref="G20:Q20" si="3">+G21+G25+G34</f>
        <v>1991061</v>
      </c>
      <c r="H20" s="13">
        <f t="shared" si="3"/>
        <v>0</v>
      </c>
      <c r="I20" s="13">
        <f>+I21+I25+I34</f>
        <v>0</v>
      </c>
      <c r="J20" s="13">
        <f t="shared" si="3"/>
        <v>0</v>
      </c>
      <c r="K20" s="13">
        <f t="shared" si="3"/>
        <v>0</v>
      </c>
      <c r="L20" s="13">
        <f t="shared" si="3"/>
        <v>0</v>
      </c>
      <c r="M20" s="13">
        <f t="shared" si="3"/>
        <v>0</v>
      </c>
      <c r="N20" s="13">
        <f t="shared" si="3"/>
        <v>0</v>
      </c>
      <c r="O20" s="13">
        <f t="shared" si="3"/>
        <v>0</v>
      </c>
      <c r="P20" s="13">
        <f>+P21+P25+P34</f>
        <v>0</v>
      </c>
      <c r="Q20" s="13">
        <f t="shared" si="3"/>
        <v>0</v>
      </c>
    </row>
    <row r="21" spans="1:17" ht="15.75" hidden="1" customHeight="1">
      <c r="B21" s="2" t="s">
        <v>10</v>
      </c>
      <c r="F21" s="14">
        <f>+F22+F23</f>
        <v>832853</v>
      </c>
      <c r="G21" s="14">
        <f t="shared" ref="G21:Q21" si="4">+G22+G23</f>
        <v>823231</v>
      </c>
      <c r="H21" s="14">
        <f t="shared" si="4"/>
        <v>0</v>
      </c>
      <c r="I21" s="14">
        <f>+I22+I23</f>
        <v>0</v>
      </c>
      <c r="J21" s="14">
        <f t="shared" si="4"/>
        <v>0</v>
      </c>
      <c r="K21" s="14">
        <f t="shared" si="4"/>
        <v>0</v>
      </c>
      <c r="L21" s="14">
        <f t="shared" si="4"/>
        <v>0</v>
      </c>
      <c r="M21" s="14">
        <f t="shared" si="4"/>
        <v>0</v>
      </c>
      <c r="N21" s="14">
        <f t="shared" si="4"/>
        <v>0</v>
      </c>
      <c r="O21" s="14">
        <f t="shared" si="4"/>
        <v>0</v>
      </c>
      <c r="P21" s="14">
        <f>+P22+P23</f>
        <v>0</v>
      </c>
      <c r="Q21" s="14">
        <f t="shared" si="4"/>
        <v>0</v>
      </c>
    </row>
    <row r="22" spans="1:17" hidden="1">
      <c r="C22" s="2" t="s">
        <v>2</v>
      </c>
      <c r="F22" s="15">
        <v>765797</v>
      </c>
      <c r="G22" s="15">
        <v>756887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</row>
    <row r="23" spans="1:17" hidden="1">
      <c r="C23" s="2" t="s">
        <v>3</v>
      </c>
      <c r="F23" s="15">
        <v>67056</v>
      </c>
      <c r="G23" s="15">
        <v>66344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</row>
    <row r="24" spans="1:17" ht="9" hidden="1" customHeight="1"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hidden="1">
      <c r="B25" s="2" t="s">
        <v>4</v>
      </c>
      <c r="F25" s="14">
        <f>+F26+F32</f>
        <v>20</v>
      </c>
      <c r="G25" s="14">
        <f t="shared" ref="G25:Q25" si="5">+G26+G32</f>
        <v>20</v>
      </c>
      <c r="H25" s="14">
        <f t="shared" si="5"/>
        <v>0</v>
      </c>
      <c r="I25" s="14">
        <f>+I26+I32</f>
        <v>0</v>
      </c>
      <c r="J25" s="14">
        <f t="shared" si="5"/>
        <v>0</v>
      </c>
      <c r="K25" s="14">
        <f t="shared" si="5"/>
        <v>0</v>
      </c>
      <c r="L25" s="14">
        <f t="shared" si="5"/>
        <v>0</v>
      </c>
      <c r="M25" s="14">
        <f t="shared" si="5"/>
        <v>0</v>
      </c>
      <c r="N25" s="14">
        <f t="shared" si="5"/>
        <v>0</v>
      </c>
      <c r="O25" s="14">
        <f t="shared" si="5"/>
        <v>0</v>
      </c>
      <c r="P25" s="14">
        <f>+P26+P32</f>
        <v>0</v>
      </c>
      <c r="Q25" s="14">
        <f t="shared" si="5"/>
        <v>0</v>
      </c>
    </row>
    <row r="26" spans="1:17" hidden="1">
      <c r="C26" s="2" t="s">
        <v>171</v>
      </c>
      <c r="F26" s="14">
        <f>SUM(F27:F31)</f>
        <v>20</v>
      </c>
      <c r="G26" s="14">
        <f t="shared" ref="G26:Q26" si="6">SUM(G27:G31)</f>
        <v>20</v>
      </c>
      <c r="H26" s="14">
        <f t="shared" si="6"/>
        <v>0</v>
      </c>
      <c r="I26" s="14">
        <f>SUM(I27:I31)</f>
        <v>0</v>
      </c>
      <c r="J26" s="14">
        <f t="shared" si="6"/>
        <v>0</v>
      </c>
      <c r="K26" s="14">
        <f t="shared" si="6"/>
        <v>0</v>
      </c>
      <c r="L26" s="14">
        <f t="shared" si="6"/>
        <v>0</v>
      </c>
      <c r="M26" s="14">
        <f t="shared" si="6"/>
        <v>0</v>
      </c>
      <c r="N26" s="14">
        <f t="shared" si="6"/>
        <v>0</v>
      </c>
      <c r="O26" s="14">
        <f t="shared" si="6"/>
        <v>0</v>
      </c>
      <c r="P26" s="14">
        <f>SUM(P27:P31)</f>
        <v>0</v>
      </c>
      <c r="Q26" s="14">
        <f t="shared" si="6"/>
        <v>0</v>
      </c>
    </row>
    <row r="27" spans="1:17" hidden="1">
      <c r="D27" s="2" t="s">
        <v>12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</row>
    <row r="28" spans="1:17" hidden="1">
      <c r="D28" s="2" t="s">
        <v>13</v>
      </c>
      <c r="F28" s="15">
        <v>4</v>
      </c>
      <c r="G28" s="15">
        <v>4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</row>
    <row r="29" spans="1:17" hidden="1">
      <c r="D29" s="2" t="s">
        <v>14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</row>
    <row r="30" spans="1:17" hidden="1">
      <c r="D30" s="2" t="s">
        <v>15</v>
      </c>
      <c r="F30" s="15">
        <v>16</v>
      </c>
      <c r="G30" s="15">
        <v>16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</row>
    <row r="31" spans="1:17" hidden="1">
      <c r="D31" s="2" t="s">
        <v>16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</row>
    <row r="32" spans="1:17" hidden="1">
      <c r="C32" s="2" t="s">
        <v>172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</row>
    <row r="33" spans="1:252" ht="11.25" hidden="1" customHeight="1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252" hidden="1">
      <c r="B34" s="2" t="s">
        <v>173</v>
      </c>
      <c r="F34" s="15">
        <v>1232883</v>
      </c>
      <c r="G34" s="15">
        <v>1167810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</row>
    <row r="35" spans="1:252" hidden="1">
      <c r="IR35" s="2">
        <v>0</v>
      </c>
    </row>
    <row r="36" spans="1:252" hidden="1"/>
    <row r="37" spans="1:252" hidden="1">
      <c r="C37" s="1" t="s">
        <v>7</v>
      </c>
      <c r="D37" s="1"/>
      <c r="E37" s="1"/>
      <c r="F37" s="41">
        <f t="shared" ref="F37:Q37" si="7">+F8+F20</f>
        <v>4740655</v>
      </c>
      <c r="G37" s="41">
        <f t="shared" si="7"/>
        <v>4655295</v>
      </c>
      <c r="H37" s="41">
        <f t="shared" si="7"/>
        <v>0</v>
      </c>
      <c r="I37" s="41">
        <f>+I8+I20</f>
        <v>0</v>
      </c>
      <c r="J37" s="41">
        <f t="shared" si="7"/>
        <v>0</v>
      </c>
      <c r="K37" s="41">
        <f>+K8+K20</f>
        <v>0</v>
      </c>
      <c r="L37" s="41">
        <f t="shared" si="7"/>
        <v>0</v>
      </c>
      <c r="M37" s="41">
        <f t="shared" si="7"/>
        <v>0</v>
      </c>
      <c r="N37" s="41">
        <f t="shared" si="7"/>
        <v>0</v>
      </c>
      <c r="O37" s="41">
        <f t="shared" si="7"/>
        <v>0</v>
      </c>
      <c r="P37" s="41">
        <f t="shared" si="7"/>
        <v>0</v>
      </c>
      <c r="Q37" s="41">
        <f t="shared" si="7"/>
        <v>0</v>
      </c>
    </row>
    <row r="38" spans="1:252" hidden="1">
      <c r="A38" s="8"/>
      <c r="B38" s="9"/>
      <c r="C38" s="9"/>
      <c r="D38" s="9"/>
    </row>
    <row r="39" spans="1:252" hidden="1">
      <c r="A39" s="2" t="s">
        <v>11</v>
      </c>
    </row>
    <row r="40" spans="1:252" hidden="1">
      <c r="A40" s="1"/>
    </row>
    <row r="41" spans="1:252" s="11" customFormat="1" hidden="1">
      <c r="A41" s="10" t="s">
        <v>8</v>
      </c>
      <c r="B41" s="10"/>
      <c r="C41" s="10"/>
      <c r="D41" s="10"/>
      <c r="E41" s="10"/>
      <c r="F41" s="71">
        <v>44.1</v>
      </c>
      <c r="G41" s="71">
        <v>43.7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</row>
    <row r="42" spans="1:252" s="11" customFormat="1" hidden="1">
      <c r="A42" s="10"/>
      <c r="B42" s="10"/>
      <c r="C42" s="10"/>
      <c r="D42" s="10"/>
      <c r="E42" s="10"/>
    </row>
    <row r="43" spans="1:252" s="11" customFormat="1" hidden="1">
      <c r="A43" s="10"/>
      <c r="B43" s="10"/>
      <c r="C43" s="10"/>
      <c r="D43" s="10"/>
      <c r="E43" s="10"/>
    </row>
    <row r="44" spans="1:252" hidden="1">
      <c r="A44" s="11" t="s">
        <v>22</v>
      </c>
    </row>
    <row r="45" spans="1:252" hidden="1">
      <c r="A45" s="11"/>
    </row>
    <row r="46" spans="1:252" hidden="1">
      <c r="A46" s="48"/>
      <c r="E46" s="11"/>
    </row>
    <row r="47" spans="1:252" hidden="1">
      <c r="A47" s="12"/>
      <c r="E47" s="11"/>
    </row>
    <row r="48" spans="1:252" hidden="1">
      <c r="A48" s="12"/>
      <c r="E48" s="11"/>
    </row>
    <row r="49" spans="1:5" hidden="1">
      <c r="A49" s="12"/>
      <c r="E49" s="11"/>
    </row>
    <row r="50" spans="1:5" hidden="1">
      <c r="A50" s="12"/>
      <c r="E50" s="11"/>
    </row>
    <row r="51" spans="1:5" hidden="1">
      <c r="A51" s="12"/>
      <c r="E51" s="11"/>
    </row>
    <row r="52" spans="1:5" hidden="1">
      <c r="A52" s="12"/>
      <c r="E52" s="11"/>
    </row>
    <row r="53" spans="1:5" hidden="1">
      <c r="A53" s="12"/>
      <c r="E53" s="11"/>
    </row>
    <row r="54" spans="1:5" hidden="1">
      <c r="A54" s="12"/>
      <c r="E54" s="11"/>
    </row>
    <row r="55" spans="1:5" hidden="1">
      <c r="A55" s="12"/>
      <c r="E55" s="11"/>
    </row>
    <row r="56" spans="1:5" hidden="1">
      <c r="A56" s="12"/>
      <c r="E56" s="11"/>
    </row>
    <row r="57" spans="1:5" hidden="1">
      <c r="A57" s="12"/>
      <c r="E57" s="11"/>
    </row>
    <row r="58" spans="1:5" hidden="1">
      <c r="A58" s="12"/>
      <c r="E58" s="11"/>
    </row>
    <row r="59" spans="1:5" hidden="1">
      <c r="A59" s="12"/>
      <c r="E59" s="11"/>
    </row>
    <row r="60" spans="1:5" hidden="1">
      <c r="A60" s="12"/>
      <c r="E60" s="11"/>
    </row>
    <row r="61" spans="1:5" hidden="1">
      <c r="A61" s="12"/>
      <c r="E61" s="11"/>
    </row>
    <row r="62" spans="1:5" hidden="1">
      <c r="A62" s="12"/>
      <c r="E62" s="11"/>
    </row>
    <row r="63" spans="1:5" hidden="1">
      <c r="A63" s="12"/>
      <c r="E63" s="11"/>
    </row>
    <row r="64" spans="1:5" hidden="1">
      <c r="A64" s="12"/>
      <c r="E64" s="11"/>
    </row>
    <row r="65" spans="1:18">
      <c r="A65" s="19" t="s">
        <v>138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spans="1:18">
      <c r="A66" s="19" t="s">
        <v>55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spans="1:18">
      <c r="A67" s="4" t="s">
        <v>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8">
      <c r="A68" s="73"/>
      <c r="B68" s="73"/>
      <c r="C68" s="73"/>
      <c r="D68" s="73"/>
      <c r="E68" s="73"/>
      <c r="F68" s="73"/>
    </row>
    <row r="69" spans="1:18" ht="19.5" customHeight="1">
      <c r="A69" s="186" t="s">
        <v>1</v>
      </c>
      <c r="B69" s="187"/>
      <c r="C69" s="187"/>
      <c r="D69" s="187"/>
      <c r="E69" s="187"/>
      <c r="F69" s="163" t="s">
        <v>5</v>
      </c>
      <c r="G69" s="163" t="s">
        <v>23</v>
      </c>
      <c r="H69" s="163" t="s">
        <v>24</v>
      </c>
      <c r="I69" s="163" t="s">
        <v>26</v>
      </c>
      <c r="J69" s="163" t="s">
        <v>27</v>
      </c>
      <c r="K69" s="163" t="s">
        <v>34</v>
      </c>
      <c r="L69" s="163" t="s">
        <v>28</v>
      </c>
      <c r="M69" s="163" t="s">
        <v>29</v>
      </c>
      <c r="N69" s="163" t="s">
        <v>30</v>
      </c>
      <c r="O69" s="163" t="s">
        <v>31</v>
      </c>
      <c r="P69" s="163" t="s">
        <v>32</v>
      </c>
      <c r="Q69" s="163" t="s">
        <v>33</v>
      </c>
      <c r="R69" s="176"/>
    </row>
    <row r="70" spans="1:18" ht="9.75" customHeight="1"/>
    <row r="71" spans="1:18">
      <c r="A71" s="1" t="s">
        <v>17</v>
      </c>
      <c r="B71" s="1"/>
      <c r="C71" s="1"/>
      <c r="D71" s="1"/>
      <c r="E71" s="1"/>
      <c r="F71" s="13">
        <f>+F73+F80</f>
        <v>569000</v>
      </c>
      <c r="G71" s="13">
        <f>+G73+G80</f>
        <v>554657</v>
      </c>
      <c r="H71" s="13">
        <f t="shared" ref="H71:Q71" si="8">+H73+H80</f>
        <v>549496</v>
      </c>
      <c r="I71" s="13">
        <f>+I73+I80</f>
        <v>548964</v>
      </c>
      <c r="J71" s="13">
        <f t="shared" si="8"/>
        <v>558831</v>
      </c>
      <c r="K71" s="13">
        <f t="shared" si="8"/>
        <v>544911</v>
      </c>
      <c r="L71" s="13">
        <f t="shared" si="8"/>
        <v>543370</v>
      </c>
      <c r="M71" s="13">
        <f t="shared" si="8"/>
        <v>543646</v>
      </c>
      <c r="N71" s="13">
        <f t="shared" si="8"/>
        <v>540470</v>
      </c>
      <c r="O71" s="13">
        <f t="shared" si="8"/>
        <v>528544</v>
      </c>
      <c r="P71" s="13">
        <f t="shared" si="8"/>
        <v>508836</v>
      </c>
      <c r="Q71" s="13">
        <f t="shared" si="8"/>
        <v>632146</v>
      </c>
      <c r="R71" s="15"/>
    </row>
    <row r="72" spans="1:18">
      <c r="A72" s="1"/>
      <c r="B72" s="1"/>
      <c r="C72" s="1"/>
      <c r="D72" s="1"/>
      <c r="E72" s="1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5"/>
    </row>
    <row r="73" spans="1:18">
      <c r="A73" s="1"/>
      <c r="B73" s="1" t="s">
        <v>18</v>
      </c>
      <c r="C73" s="1"/>
      <c r="D73" s="1"/>
      <c r="E73" s="1"/>
      <c r="F73" s="13">
        <f>+F75+F76</f>
        <v>157586</v>
      </c>
      <c r="G73" s="13">
        <f>+G75+G76</f>
        <v>157398</v>
      </c>
      <c r="H73" s="13">
        <f t="shared" ref="H73:Q73" si="9">+H75+H76</f>
        <v>157397</v>
      </c>
      <c r="I73" s="13">
        <f>+I75+I76</f>
        <v>158576</v>
      </c>
      <c r="J73" s="13">
        <f t="shared" si="9"/>
        <v>155557</v>
      </c>
      <c r="K73" s="13">
        <f t="shared" si="9"/>
        <v>155557</v>
      </c>
      <c r="L73" s="13">
        <f t="shared" si="9"/>
        <v>155557</v>
      </c>
      <c r="M73" s="13">
        <f t="shared" si="9"/>
        <v>155369</v>
      </c>
      <c r="N73" s="13">
        <f t="shared" si="9"/>
        <v>155369</v>
      </c>
      <c r="O73" s="13">
        <f t="shared" si="9"/>
        <v>155368</v>
      </c>
      <c r="P73" s="13">
        <f t="shared" si="9"/>
        <v>144181</v>
      </c>
      <c r="Q73" s="13">
        <f t="shared" si="9"/>
        <v>274264</v>
      </c>
      <c r="R73" s="29"/>
    </row>
    <row r="74" spans="1:18">
      <c r="A74" s="1"/>
      <c r="B74" s="1"/>
      <c r="C74" s="1"/>
      <c r="D74" s="1"/>
      <c r="E74" s="1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8" ht="18.75">
      <c r="C75" s="2" t="s">
        <v>167</v>
      </c>
      <c r="F75" s="15">
        <v>157450</v>
      </c>
      <c r="G75" s="15">
        <v>157262</v>
      </c>
      <c r="H75" s="15">
        <v>157261</v>
      </c>
      <c r="I75" s="15">
        <v>158440</v>
      </c>
      <c r="J75" s="15">
        <v>155421</v>
      </c>
      <c r="K75" s="15">
        <v>155421</v>
      </c>
      <c r="L75" s="15">
        <v>155421</v>
      </c>
      <c r="M75" s="15">
        <v>155233</v>
      </c>
      <c r="N75" s="15">
        <v>155233</v>
      </c>
      <c r="O75" s="15">
        <v>155232</v>
      </c>
      <c r="P75" s="15">
        <v>144045</v>
      </c>
      <c r="Q75" s="15">
        <f>144045+130083</f>
        <v>274128</v>
      </c>
      <c r="R75" s="160" t="s">
        <v>176</v>
      </c>
    </row>
    <row r="76" spans="1:18">
      <c r="C76" s="2" t="s">
        <v>19</v>
      </c>
      <c r="F76" s="14">
        <f>+F77+F78</f>
        <v>136</v>
      </c>
      <c r="G76" s="14">
        <f>+G77+G78</f>
        <v>136</v>
      </c>
      <c r="H76" s="14">
        <f t="shared" ref="H76:Q76" si="10">+H77+H78</f>
        <v>136</v>
      </c>
      <c r="I76" s="14">
        <f>+I77+I78</f>
        <v>136</v>
      </c>
      <c r="J76" s="14">
        <f t="shared" si="10"/>
        <v>136</v>
      </c>
      <c r="K76" s="14">
        <f t="shared" si="10"/>
        <v>136</v>
      </c>
      <c r="L76" s="14">
        <f t="shared" si="10"/>
        <v>136</v>
      </c>
      <c r="M76" s="14">
        <f t="shared" si="10"/>
        <v>136</v>
      </c>
      <c r="N76" s="14">
        <f t="shared" si="10"/>
        <v>136</v>
      </c>
      <c r="O76" s="14">
        <f t="shared" si="10"/>
        <v>136</v>
      </c>
      <c r="P76" s="14">
        <f t="shared" si="10"/>
        <v>136</v>
      </c>
      <c r="Q76" s="14">
        <f t="shared" si="10"/>
        <v>136</v>
      </c>
    </row>
    <row r="77" spans="1:18">
      <c r="D77" s="2" t="s">
        <v>20</v>
      </c>
      <c r="F77" s="15">
        <v>37</v>
      </c>
      <c r="G77" s="15">
        <v>37</v>
      </c>
      <c r="H77" s="15">
        <v>37</v>
      </c>
      <c r="I77" s="15">
        <v>37</v>
      </c>
      <c r="J77" s="15">
        <v>37</v>
      </c>
      <c r="K77" s="15">
        <v>37</v>
      </c>
      <c r="L77" s="15">
        <v>37</v>
      </c>
      <c r="M77" s="15">
        <v>37</v>
      </c>
      <c r="N77" s="15">
        <v>37</v>
      </c>
      <c r="O77" s="15">
        <v>37</v>
      </c>
      <c r="P77" s="15">
        <v>37</v>
      </c>
      <c r="Q77" s="15">
        <v>37</v>
      </c>
    </row>
    <row r="78" spans="1:18">
      <c r="D78" s="2" t="s">
        <v>15</v>
      </c>
      <c r="F78" s="15">
        <v>99</v>
      </c>
      <c r="G78" s="15">
        <v>99</v>
      </c>
      <c r="H78" s="15">
        <v>99</v>
      </c>
      <c r="I78" s="15">
        <v>99</v>
      </c>
      <c r="J78" s="15">
        <v>99</v>
      </c>
      <c r="K78" s="15">
        <v>99</v>
      </c>
      <c r="L78" s="15">
        <v>99</v>
      </c>
      <c r="M78" s="15">
        <v>99</v>
      </c>
      <c r="N78" s="15">
        <v>99</v>
      </c>
      <c r="O78" s="15">
        <v>99</v>
      </c>
      <c r="P78" s="15">
        <v>99</v>
      </c>
      <c r="Q78" s="15">
        <v>99</v>
      </c>
    </row>
    <row r="79" spans="1:18"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spans="1:18">
      <c r="A80" s="1"/>
      <c r="B80" s="1" t="s">
        <v>168</v>
      </c>
      <c r="C80" s="1"/>
      <c r="D80" s="1"/>
      <c r="E80" s="1"/>
      <c r="F80" s="13">
        <f>+F82+F83</f>
        <v>411414</v>
      </c>
      <c r="G80" s="13">
        <f>+G82+G83</f>
        <v>397259</v>
      </c>
      <c r="H80" s="13">
        <f t="shared" ref="H80:Q80" si="11">+H82+H83</f>
        <v>392099</v>
      </c>
      <c r="I80" s="13">
        <f>+I82+I83</f>
        <v>390388</v>
      </c>
      <c r="J80" s="13">
        <f t="shared" si="11"/>
        <v>403274</v>
      </c>
      <c r="K80" s="13">
        <f t="shared" si="11"/>
        <v>389354</v>
      </c>
      <c r="L80" s="13">
        <f t="shared" si="11"/>
        <v>387813</v>
      </c>
      <c r="M80" s="13">
        <f t="shared" si="11"/>
        <v>388277</v>
      </c>
      <c r="N80" s="13">
        <f t="shared" si="11"/>
        <v>385101</v>
      </c>
      <c r="O80" s="13">
        <f t="shared" si="11"/>
        <v>373176</v>
      </c>
      <c r="P80" s="13">
        <f t="shared" si="11"/>
        <v>364655</v>
      </c>
      <c r="Q80" s="13">
        <f t="shared" si="11"/>
        <v>357882</v>
      </c>
    </row>
    <row r="81" spans="1:17">
      <c r="A81" s="1"/>
      <c r="B81" s="1"/>
      <c r="C81" s="1"/>
      <c r="D81" s="1"/>
      <c r="E81" s="1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>
      <c r="C82" s="2" t="s">
        <v>167</v>
      </c>
      <c r="F82" s="15">
        <v>407722</v>
      </c>
      <c r="G82" s="15">
        <v>393588</v>
      </c>
      <c r="H82" s="15">
        <v>388420</v>
      </c>
      <c r="I82" s="15">
        <v>386760</v>
      </c>
      <c r="J82" s="15">
        <v>399549</v>
      </c>
      <c r="K82" s="15">
        <v>385727</v>
      </c>
      <c r="L82" s="15">
        <v>384221</v>
      </c>
      <c r="M82" s="15">
        <v>384659</v>
      </c>
      <c r="N82" s="15">
        <v>381516</v>
      </c>
      <c r="O82" s="15">
        <v>369647</v>
      </c>
      <c r="P82" s="15">
        <v>361151</v>
      </c>
      <c r="Q82" s="15">
        <v>354361</v>
      </c>
    </row>
    <row r="83" spans="1:17">
      <c r="C83" s="2" t="s">
        <v>19</v>
      </c>
      <c r="F83" s="14">
        <f>SUM(F84:F87)</f>
        <v>3692</v>
      </c>
      <c r="G83" s="14">
        <f>SUM(G84:G87)</f>
        <v>3671</v>
      </c>
      <c r="H83" s="14">
        <f t="shared" ref="H83:Q83" si="12">SUM(H84:H87)</f>
        <v>3679</v>
      </c>
      <c r="I83" s="14">
        <f>SUM(I84:I87)</f>
        <v>3628</v>
      </c>
      <c r="J83" s="14">
        <f t="shared" si="12"/>
        <v>3725</v>
      </c>
      <c r="K83" s="14">
        <f t="shared" si="12"/>
        <v>3627</v>
      </c>
      <c r="L83" s="14">
        <f t="shared" si="12"/>
        <v>3592</v>
      </c>
      <c r="M83" s="14">
        <f t="shared" si="12"/>
        <v>3618</v>
      </c>
      <c r="N83" s="14">
        <f t="shared" si="12"/>
        <v>3585</v>
      </c>
      <c r="O83" s="14">
        <f t="shared" si="12"/>
        <v>3529</v>
      </c>
      <c r="P83" s="14">
        <f t="shared" si="12"/>
        <v>3504</v>
      </c>
      <c r="Q83" s="14">
        <f t="shared" si="12"/>
        <v>3521</v>
      </c>
    </row>
    <row r="84" spans="1:17">
      <c r="D84" s="2" t="s">
        <v>12</v>
      </c>
      <c r="F84" s="15">
        <v>3658</v>
      </c>
      <c r="G84" s="15">
        <v>3637</v>
      </c>
      <c r="H84" s="15">
        <v>3645</v>
      </c>
      <c r="I84" s="15">
        <v>3595</v>
      </c>
      <c r="J84" s="15">
        <v>3691</v>
      </c>
      <c r="K84" s="15">
        <v>3593</v>
      </c>
      <c r="L84" s="15">
        <v>3559</v>
      </c>
      <c r="M84" s="15">
        <v>3585</v>
      </c>
      <c r="N84" s="15">
        <v>3552</v>
      </c>
      <c r="O84" s="15">
        <v>3496</v>
      </c>
      <c r="P84" s="15">
        <v>3471</v>
      </c>
      <c r="Q84" s="15">
        <v>3488</v>
      </c>
    </row>
    <row r="85" spans="1:17" hidden="1">
      <c r="D85" s="2" t="s">
        <v>13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>
      <c r="D86" s="2" t="s">
        <v>21</v>
      </c>
      <c r="F86" s="15">
        <v>34</v>
      </c>
      <c r="G86" s="15">
        <v>34</v>
      </c>
      <c r="H86" s="15">
        <v>34</v>
      </c>
      <c r="I86" s="15">
        <v>33</v>
      </c>
      <c r="J86" s="15">
        <v>34</v>
      </c>
      <c r="K86" s="15">
        <v>34</v>
      </c>
      <c r="L86" s="15">
        <v>33</v>
      </c>
      <c r="M86" s="15">
        <v>33</v>
      </c>
      <c r="N86" s="15">
        <v>33</v>
      </c>
      <c r="O86" s="15">
        <v>33</v>
      </c>
      <c r="P86" s="15">
        <v>33</v>
      </c>
      <c r="Q86" s="15">
        <v>33</v>
      </c>
    </row>
    <row r="87" spans="1:17" hidden="1">
      <c r="D87" s="2" t="s">
        <v>15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</row>
    <row r="90" spans="1:17">
      <c r="A90" s="8"/>
      <c r="B90" s="9"/>
      <c r="C90" s="9"/>
      <c r="D90" s="9"/>
    </row>
    <row r="91" spans="1:17">
      <c r="A91" s="2" t="s">
        <v>11</v>
      </c>
    </row>
    <row r="93" spans="1:17">
      <c r="A93" s="2" t="s">
        <v>176</v>
      </c>
      <c r="B93" s="2" t="s">
        <v>178</v>
      </c>
    </row>
  </sheetData>
  <mergeCells count="4">
    <mergeCell ref="A69:E69"/>
    <mergeCell ref="A2:Q2"/>
    <mergeCell ref="A3:Q3"/>
    <mergeCell ref="A6:E6"/>
  </mergeCells>
  <printOptions horizontalCentered="1"/>
  <pageMargins left="0.51181102362204722" right="0" top="0.98425196850393704" bottom="0.23622047244094491" header="0.51181102362204722" footer="0.51181102362204722"/>
  <pageSetup paperSize="9" scale="88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>
    <pageSetUpPr fitToPage="1"/>
  </sheetPr>
  <dimension ref="A1:R101"/>
  <sheetViews>
    <sheetView workbookViewId="0">
      <pane xSplit="5" ySplit="5" topLeftCell="F6" activePane="bottomRight" state="frozen"/>
      <selection pane="topRight" activeCell="F1" sqref="F1"/>
      <selection pane="bottomLeft" activeCell="A8" sqref="A8"/>
      <selection pane="bottomRight" activeCell="H32" sqref="H32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1.5703125" style="2" customWidth="1"/>
    <col min="6" max="17" width="10.140625" style="2" bestFit="1" customWidth="1"/>
    <col min="18" max="18" width="9.85546875" style="2" hidden="1" customWidth="1"/>
    <col min="19" max="19" width="9.140625" style="2" customWidth="1"/>
    <col min="20" max="16384" width="9.140625" style="2"/>
  </cols>
  <sheetData>
    <row r="1" spans="1:18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>
      <c r="A2" s="19" t="s">
        <v>56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2" customHeight="1">
      <c r="A4" s="4"/>
    </row>
    <row r="5" spans="1:18" ht="18" customHeight="1">
      <c r="A5" s="177" t="s">
        <v>1</v>
      </c>
      <c r="B5" s="178"/>
      <c r="C5" s="178"/>
      <c r="D5" s="178"/>
      <c r="E5" s="178"/>
      <c r="F5" s="18" t="s">
        <v>5</v>
      </c>
      <c r="G5" s="18" t="s">
        <v>23</v>
      </c>
      <c r="H5" s="18" t="s">
        <v>24</v>
      </c>
      <c r="I5" s="18" t="s">
        <v>26</v>
      </c>
      <c r="J5" s="18" t="s">
        <v>27</v>
      </c>
      <c r="K5" s="18" t="s">
        <v>34</v>
      </c>
      <c r="L5" s="18" t="s">
        <v>28</v>
      </c>
      <c r="M5" s="18" t="s">
        <v>29</v>
      </c>
      <c r="N5" s="18" t="s">
        <v>30</v>
      </c>
      <c r="O5" s="18" t="s">
        <v>31</v>
      </c>
      <c r="P5" s="18" t="s">
        <v>32</v>
      </c>
      <c r="Q5" s="18" t="s">
        <v>33</v>
      </c>
      <c r="R5" s="75" t="s">
        <v>33</v>
      </c>
    </row>
    <row r="6" spans="1:18" ht="9" customHeight="1">
      <c r="A6" s="46"/>
      <c r="B6" s="46"/>
      <c r="C6" s="46"/>
      <c r="D6" s="46"/>
      <c r="E6" s="46"/>
      <c r="F6" s="47"/>
    </row>
    <row r="7" spans="1:18" ht="14.25" customHeight="1">
      <c r="A7" s="1" t="s">
        <v>6</v>
      </c>
      <c r="B7" s="1"/>
      <c r="C7" s="1"/>
      <c r="D7" s="1"/>
      <c r="E7" s="1"/>
      <c r="F7" s="13">
        <v>2674899</v>
      </c>
      <c r="G7" s="13">
        <v>2664234</v>
      </c>
      <c r="H7" s="13">
        <v>2666672</v>
      </c>
      <c r="I7" s="13">
        <v>2685667</v>
      </c>
      <c r="J7" s="13">
        <v>2736634</v>
      </c>
      <c r="K7" s="13">
        <v>2758813</v>
      </c>
      <c r="L7" s="13">
        <v>2735580</v>
      </c>
      <c r="M7" s="13">
        <v>2756781</v>
      </c>
      <c r="N7" s="13">
        <v>2780834</v>
      </c>
      <c r="O7" s="13">
        <v>2835384</v>
      </c>
      <c r="P7" s="13">
        <v>2850321</v>
      </c>
      <c r="Q7" s="13">
        <v>2873357</v>
      </c>
      <c r="R7" s="13">
        <v>0</v>
      </c>
    </row>
    <row r="8" spans="1:18">
      <c r="A8" s="1"/>
      <c r="B8" s="1" t="s">
        <v>37</v>
      </c>
      <c r="C8" s="1"/>
      <c r="D8" s="1"/>
      <c r="E8" s="1"/>
      <c r="F8" s="13">
        <v>9093</v>
      </c>
      <c r="G8" s="13">
        <v>9093</v>
      </c>
      <c r="H8" s="13">
        <v>9093</v>
      </c>
      <c r="I8" s="13">
        <v>9092</v>
      </c>
      <c r="J8" s="13">
        <v>9093</v>
      </c>
      <c r="K8" s="13">
        <v>9093</v>
      </c>
      <c r="L8" s="13">
        <v>9092</v>
      </c>
      <c r="M8" s="13">
        <v>9092</v>
      </c>
      <c r="N8" s="13">
        <v>9093</v>
      </c>
      <c r="O8" s="13">
        <v>9092</v>
      </c>
      <c r="P8" s="13">
        <v>9093</v>
      </c>
      <c r="Q8" s="13">
        <v>9093</v>
      </c>
    </row>
    <row r="9" spans="1:18">
      <c r="C9" s="2" t="s">
        <v>10</v>
      </c>
      <c r="F9" s="14">
        <v>6799</v>
      </c>
      <c r="G9" s="14">
        <v>6799</v>
      </c>
      <c r="H9" s="14">
        <v>6799</v>
      </c>
      <c r="I9" s="14">
        <v>6798</v>
      </c>
      <c r="J9" s="14">
        <v>6799</v>
      </c>
      <c r="K9" s="14">
        <v>6799</v>
      </c>
      <c r="L9" s="14">
        <v>6798</v>
      </c>
      <c r="M9" s="14">
        <v>6798</v>
      </c>
      <c r="N9" s="14">
        <v>6799</v>
      </c>
      <c r="O9" s="14">
        <v>6798</v>
      </c>
      <c r="P9" s="14">
        <v>6799</v>
      </c>
      <c r="Q9" s="14">
        <v>6799</v>
      </c>
      <c r="R9" s="14">
        <v>0</v>
      </c>
    </row>
    <row r="10" spans="1:18">
      <c r="D10" s="2" t="s">
        <v>2</v>
      </c>
      <c r="F10" s="15">
        <v>6799</v>
      </c>
      <c r="G10" s="15">
        <v>6799</v>
      </c>
      <c r="H10" s="15">
        <v>6799</v>
      </c>
      <c r="I10" s="15">
        <v>6798</v>
      </c>
      <c r="J10" s="15">
        <v>6799</v>
      </c>
      <c r="K10" s="15">
        <v>6799</v>
      </c>
      <c r="L10" s="15">
        <v>6798</v>
      </c>
      <c r="M10" s="15">
        <v>6798</v>
      </c>
      <c r="N10" s="15">
        <v>6799</v>
      </c>
      <c r="O10" s="15">
        <v>6798</v>
      </c>
      <c r="P10" s="15">
        <v>6799</v>
      </c>
      <c r="Q10" s="15">
        <v>6799</v>
      </c>
      <c r="R10" s="15">
        <v>0</v>
      </c>
    </row>
    <row r="11" spans="1:18">
      <c r="D11" s="2" t="s">
        <v>3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</row>
    <row r="12" spans="1:18">
      <c r="C12" s="2" t="s">
        <v>4</v>
      </c>
      <c r="F12" s="14">
        <v>2294</v>
      </c>
      <c r="G12" s="14">
        <v>2294</v>
      </c>
      <c r="H12" s="14">
        <v>2294</v>
      </c>
      <c r="I12" s="14">
        <v>2294</v>
      </c>
      <c r="J12" s="14">
        <v>2294</v>
      </c>
      <c r="K12" s="14">
        <v>2294</v>
      </c>
      <c r="L12" s="14">
        <v>2294</v>
      </c>
      <c r="M12" s="14">
        <v>2294</v>
      </c>
      <c r="N12" s="14">
        <v>2294</v>
      </c>
      <c r="O12" s="14">
        <v>2294</v>
      </c>
      <c r="P12" s="14">
        <v>2294</v>
      </c>
      <c r="Q12" s="14">
        <v>2294</v>
      </c>
      <c r="R12" s="14">
        <v>0</v>
      </c>
    </row>
    <row r="13" spans="1:18" hidden="1">
      <c r="D13" s="2" t="s">
        <v>12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</row>
    <row r="14" spans="1:18">
      <c r="D14" s="2" t="s">
        <v>13</v>
      </c>
      <c r="F14" s="15">
        <v>2288</v>
      </c>
      <c r="G14" s="15">
        <v>2288</v>
      </c>
      <c r="H14" s="15">
        <v>2288</v>
      </c>
      <c r="I14" s="15">
        <v>2288</v>
      </c>
      <c r="J14" s="15">
        <v>2288</v>
      </c>
      <c r="K14" s="15">
        <v>2288</v>
      </c>
      <c r="L14" s="15">
        <v>2288</v>
      </c>
      <c r="M14" s="15">
        <v>2288</v>
      </c>
      <c r="N14" s="15">
        <v>2288</v>
      </c>
      <c r="O14" s="15">
        <v>2288</v>
      </c>
      <c r="P14" s="15">
        <v>2288</v>
      </c>
      <c r="Q14" s="15">
        <v>2288</v>
      </c>
      <c r="R14" s="15">
        <v>0</v>
      </c>
    </row>
    <row r="15" spans="1:18" hidden="1">
      <c r="D15" s="2" t="s">
        <v>14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</row>
    <row r="16" spans="1:18">
      <c r="D16" s="2" t="s">
        <v>15</v>
      </c>
      <c r="F16" s="15">
        <v>6</v>
      </c>
      <c r="G16" s="15">
        <v>6</v>
      </c>
      <c r="H16" s="15">
        <v>6</v>
      </c>
      <c r="I16" s="15">
        <v>6</v>
      </c>
      <c r="J16" s="15">
        <v>6</v>
      </c>
      <c r="K16" s="15">
        <v>6</v>
      </c>
      <c r="L16" s="15">
        <v>6</v>
      </c>
      <c r="M16" s="15">
        <v>6</v>
      </c>
      <c r="N16" s="15">
        <v>6</v>
      </c>
      <c r="O16" s="15">
        <v>6</v>
      </c>
      <c r="P16" s="15">
        <v>6</v>
      </c>
      <c r="Q16" s="15">
        <v>6</v>
      </c>
      <c r="R16" s="15">
        <v>0</v>
      </c>
    </row>
    <row r="17" spans="1:18"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15" customHeight="1">
      <c r="B18" s="1" t="s">
        <v>38</v>
      </c>
      <c r="F18" s="15">
        <v>2665806</v>
      </c>
      <c r="G18" s="15">
        <v>2655141</v>
      </c>
      <c r="H18" s="15">
        <v>2657579</v>
      </c>
      <c r="I18" s="15">
        <v>2676575</v>
      </c>
      <c r="J18" s="15">
        <v>2727541</v>
      </c>
      <c r="K18" s="15">
        <v>2749720</v>
      </c>
      <c r="L18" s="15">
        <v>2726488</v>
      </c>
      <c r="M18" s="15">
        <v>2747689</v>
      </c>
      <c r="N18" s="15">
        <v>2771741</v>
      </c>
      <c r="O18" s="15">
        <v>2826292</v>
      </c>
      <c r="P18" s="15">
        <v>2841228</v>
      </c>
      <c r="Q18" s="15">
        <v>2864264</v>
      </c>
      <c r="R18" s="15">
        <v>0</v>
      </c>
    </row>
    <row r="19" spans="1:18"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ht="15" customHeight="1">
      <c r="A20" s="1" t="s">
        <v>41</v>
      </c>
      <c r="B20" s="1"/>
      <c r="C20" s="1"/>
      <c r="D20" s="1"/>
      <c r="E20" s="1"/>
      <c r="F20" s="13">
        <v>2065756</v>
      </c>
      <c r="G20" s="13">
        <v>1991061</v>
      </c>
      <c r="H20" s="13">
        <v>2038955</v>
      </c>
      <c r="I20" s="13">
        <v>2026255</v>
      </c>
      <c r="J20" s="13">
        <v>2040120</v>
      </c>
      <c r="K20" s="13">
        <v>2051292</v>
      </c>
      <c r="L20" s="13">
        <v>2010567</v>
      </c>
      <c r="M20" s="13">
        <v>2036719</v>
      </c>
      <c r="N20" s="13">
        <v>2089987</v>
      </c>
      <c r="O20" s="13">
        <v>2062961</v>
      </c>
      <c r="P20" s="13">
        <v>2082052</v>
      </c>
      <c r="Q20" s="13">
        <v>2077831</v>
      </c>
      <c r="R20" s="13">
        <v>0</v>
      </c>
    </row>
    <row r="21" spans="1:18">
      <c r="A21" s="1"/>
      <c r="B21" s="1" t="s">
        <v>37</v>
      </c>
      <c r="C21" s="1"/>
      <c r="D21" s="1"/>
      <c r="E21" s="1"/>
      <c r="F21" s="13">
        <v>832873</v>
      </c>
      <c r="G21" s="13">
        <v>823251</v>
      </c>
      <c r="H21" s="13">
        <v>812422</v>
      </c>
      <c r="I21" s="13">
        <v>811154</v>
      </c>
      <c r="J21" s="13">
        <v>815294</v>
      </c>
      <c r="K21" s="13">
        <v>820719</v>
      </c>
      <c r="L21" s="13">
        <v>812344</v>
      </c>
      <c r="M21" s="13">
        <v>829241</v>
      </c>
      <c r="N21" s="13">
        <v>853192</v>
      </c>
      <c r="O21" s="13">
        <v>844271</v>
      </c>
      <c r="P21" s="13">
        <v>842725</v>
      </c>
      <c r="Q21" s="13">
        <v>863541</v>
      </c>
    </row>
    <row r="22" spans="1:18" ht="15.75" customHeight="1">
      <c r="C22" s="2" t="s">
        <v>10</v>
      </c>
      <c r="F22" s="14">
        <v>832853</v>
      </c>
      <c r="G22" s="14">
        <v>823231</v>
      </c>
      <c r="H22" s="14">
        <v>812401</v>
      </c>
      <c r="I22" s="14">
        <v>811133</v>
      </c>
      <c r="J22" s="14">
        <v>815273</v>
      </c>
      <c r="K22" s="14">
        <v>820698</v>
      </c>
      <c r="L22" s="14">
        <v>812329</v>
      </c>
      <c r="M22" s="14">
        <v>829226</v>
      </c>
      <c r="N22" s="14">
        <v>853177</v>
      </c>
      <c r="O22" s="14">
        <v>844256</v>
      </c>
      <c r="P22" s="14">
        <v>842710</v>
      </c>
      <c r="Q22" s="14">
        <v>863530</v>
      </c>
      <c r="R22" s="14">
        <v>0</v>
      </c>
    </row>
    <row r="23" spans="1:18">
      <c r="D23" s="2" t="s">
        <v>2</v>
      </c>
      <c r="F23" s="15">
        <v>765797</v>
      </c>
      <c r="G23" s="15">
        <v>756887</v>
      </c>
      <c r="H23" s="15">
        <v>747668</v>
      </c>
      <c r="I23" s="15">
        <v>746450</v>
      </c>
      <c r="J23" s="15">
        <v>749905</v>
      </c>
      <c r="K23" s="15">
        <v>755636</v>
      </c>
      <c r="L23" s="15">
        <v>747614</v>
      </c>
      <c r="M23" s="15">
        <v>763713</v>
      </c>
      <c r="N23" s="15">
        <v>786671</v>
      </c>
      <c r="O23" s="15">
        <v>778560</v>
      </c>
      <c r="P23" s="15">
        <v>777288</v>
      </c>
      <c r="Q23" s="15">
        <v>798311</v>
      </c>
      <c r="R23" s="15">
        <v>0</v>
      </c>
    </row>
    <row r="24" spans="1:18">
      <c r="D24" s="2" t="s">
        <v>3</v>
      </c>
      <c r="F24" s="15">
        <v>67056</v>
      </c>
      <c r="G24" s="15">
        <v>66344</v>
      </c>
      <c r="H24" s="15">
        <v>64733</v>
      </c>
      <c r="I24" s="15">
        <v>64683</v>
      </c>
      <c r="J24" s="15">
        <v>65368</v>
      </c>
      <c r="K24" s="15">
        <v>65062</v>
      </c>
      <c r="L24" s="15">
        <v>64715</v>
      </c>
      <c r="M24" s="15">
        <v>65513</v>
      </c>
      <c r="N24" s="15">
        <v>66506</v>
      </c>
      <c r="O24" s="15">
        <v>65696</v>
      </c>
      <c r="P24" s="15">
        <v>65422</v>
      </c>
      <c r="Q24" s="15">
        <v>65219</v>
      </c>
      <c r="R24" s="15">
        <v>0</v>
      </c>
    </row>
    <row r="25" spans="1:18">
      <c r="C25" s="2" t="s">
        <v>4</v>
      </c>
      <c r="F25" s="14">
        <v>20</v>
      </c>
      <c r="G25" s="14">
        <v>20</v>
      </c>
      <c r="H25" s="14">
        <v>21</v>
      </c>
      <c r="I25" s="14">
        <v>21</v>
      </c>
      <c r="J25" s="14">
        <v>21</v>
      </c>
      <c r="K25" s="14">
        <v>21</v>
      </c>
      <c r="L25" s="14">
        <v>15</v>
      </c>
      <c r="M25" s="14">
        <v>15</v>
      </c>
      <c r="N25" s="14">
        <v>15</v>
      </c>
      <c r="O25" s="14">
        <v>15</v>
      </c>
      <c r="P25" s="14">
        <v>15</v>
      </c>
      <c r="Q25" s="14">
        <v>11</v>
      </c>
      <c r="R25" s="14">
        <v>0</v>
      </c>
    </row>
    <row r="26" spans="1:18" hidden="1">
      <c r="D26" s="2" t="s">
        <v>12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</row>
    <row r="27" spans="1:18">
      <c r="D27" s="2" t="s">
        <v>13</v>
      </c>
      <c r="F27" s="15">
        <v>4</v>
      </c>
      <c r="G27" s="15">
        <v>4</v>
      </c>
      <c r="H27" s="15">
        <v>4</v>
      </c>
      <c r="I27" s="15">
        <v>4</v>
      </c>
      <c r="J27" s="15">
        <v>4</v>
      </c>
      <c r="K27" s="15">
        <v>4</v>
      </c>
      <c r="L27" s="15">
        <v>2</v>
      </c>
      <c r="M27" s="15">
        <v>2</v>
      </c>
      <c r="N27" s="15">
        <v>2</v>
      </c>
      <c r="O27" s="15">
        <v>2</v>
      </c>
      <c r="P27" s="15">
        <v>2</v>
      </c>
      <c r="Q27" s="15">
        <v>2</v>
      </c>
      <c r="R27" s="15">
        <v>0</v>
      </c>
    </row>
    <row r="28" spans="1:18" hidden="1">
      <c r="D28" s="2" t="s">
        <v>14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</row>
    <row r="29" spans="1:18">
      <c r="D29" s="2" t="s">
        <v>15</v>
      </c>
      <c r="F29" s="15">
        <v>16</v>
      </c>
      <c r="G29" s="15">
        <v>16</v>
      </c>
      <c r="H29" s="15">
        <v>17</v>
      </c>
      <c r="I29" s="15">
        <v>17</v>
      </c>
      <c r="J29" s="15">
        <v>17</v>
      </c>
      <c r="K29" s="15">
        <v>17</v>
      </c>
      <c r="L29" s="15">
        <v>13</v>
      </c>
      <c r="M29" s="15">
        <v>13</v>
      </c>
      <c r="N29" s="15">
        <v>13</v>
      </c>
      <c r="O29" s="15">
        <v>13</v>
      </c>
      <c r="P29" s="15">
        <v>13</v>
      </c>
      <c r="Q29" s="15">
        <v>9</v>
      </c>
      <c r="R29" s="15">
        <v>0</v>
      </c>
    </row>
    <row r="30" spans="1:18" hidden="1">
      <c r="D30" s="2" t="s">
        <v>16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</row>
    <row r="31" spans="1:18" ht="11.25" customHeight="1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18">
      <c r="B32" s="1" t="s">
        <v>38</v>
      </c>
      <c r="F32" s="15">
        <v>1232883</v>
      </c>
      <c r="G32" s="15">
        <v>1167810</v>
      </c>
      <c r="H32" s="15">
        <v>1226533</v>
      </c>
      <c r="I32" s="15">
        <v>1215101</v>
      </c>
      <c r="J32" s="15">
        <v>1224826</v>
      </c>
      <c r="K32" s="15">
        <v>1230573</v>
      </c>
      <c r="L32" s="15">
        <v>1198223</v>
      </c>
      <c r="M32" s="15">
        <v>1207478</v>
      </c>
      <c r="N32" s="15">
        <v>1236795</v>
      </c>
      <c r="O32" s="15">
        <v>1218690</v>
      </c>
      <c r="P32" s="15">
        <v>1239327</v>
      </c>
      <c r="Q32" s="15">
        <v>1214290</v>
      </c>
      <c r="R32" s="15">
        <v>0</v>
      </c>
    </row>
    <row r="34" spans="1:18">
      <c r="C34" s="1" t="s">
        <v>7</v>
      </c>
      <c r="D34" s="1"/>
      <c r="E34" s="1"/>
      <c r="F34" s="41">
        <v>4740655</v>
      </c>
      <c r="G34" s="41">
        <v>4655295</v>
      </c>
      <c r="H34" s="41">
        <v>4705627</v>
      </c>
      <c r="I34" s="41">
        <v>4711922</v>
      </c>
      <c r="J34" s="41">
        <v>4776754</v>
      </c>
      <c r="K34" s="41">
        <v>4810105</v>
      </c>
      <c r="L34" s="41">
        <v>4746147</v>
      </c>
      <c r="M34" s="41">
        <v>4793500</v>
      </c>
      <c r="N34" s="41">
        <v>4870821</v>
      </c>
      <c r="O34" s="41">
        <v>4898345</v>
      </c>
      <c r="P34" s="41">
        <v>4932373</v>
      </c>
      <c r="Q34" s="41">
        <v>4951188</v>
      </c>
      <c r="R34" s="41">
        <v>0</v>
      </c>
    </row>
    <row r="35" spans="1:18">
      <c r="A35" s="8"/>
      <c r="B35" s="9"/>
      <c r="C35" s="9"/>
      <c r="D35" s="9"/>
    </row>
    <row r="36" spans="1:18">
      <c r="A36" s="2" t="s">
        <v>11</v>
      </c>
    </row>
    <row r="37" spans="1:18">
      <c r="A37" s="1"/>
    </row>
    <row r="38" spans="1:18" s="11" customFormat="1">
      <c r="A38" s="10" t="s">
        <v>8</v>
      </c>
      <c r="B38" s="10"/>
      <c r="C38" s="10"/>
      <c r="D38" s="10"/>
      <c r="E38" s="10"/>
      <c r="F38" s="71">
        <v>44.1</v>
      </c>
      <c r="G38" s="71">
        <v>43.7</v>
      </c>
      <c r="H38" s="71">
        <v>43.45</v>
      </c>
      <c r="I38" s="71">
        <v>42.9</v>
      </c>
      <c r="J38" s="71">
        <v>43.3</v>
      </c>
      <c r="K38" s="71">
        <v>43.5</v>
      </c>
      <c r="L38" s="71">
        <v>42.15</v>
      </c>
      <c r="M38" s="71">
        <v>42.45</v>
      </c>
      <c r="N38" s="71">
        <v>43.65</v>
      </c>
      <c r="O38" s="71">
        <v>42.85</v>
      </c>
      <c r="P38" s="71">
        <v>43.8</v>
      </c>
      <c r="Q38" s="71">
        <v>43.95</v>
      </c>
      <c r="R38" s="71">
        <v>0</v>
      </c>
    </row>
    <row r="39" spans="1:18" s="11" customFormat="1">
      <c r="A39" s="10"/>
      <c r="B39" s="10"/>
      <c r="C39" s="10"/>
      <c r="D39" s="10"/>
      <c r="E39" s="10"/>
    </row>
    <row r="40" spans="1:18" s="11" customFormat="1">
      <c r="A40" s="10"/>
      <c r="B40" s="10"/>
      <c r="C40" s="10"/>
      <c r="D40" s="10"/>
      <c r="E40" s="10"/>
    </row>
    <row r="41" spans="1:18">
      <c r="A41" s="11" t="s">
        <v>22</v>
      </c>
    </row>
    <row r="42" spans="1:18">
      <c r="A42" s="11"/>
    </row>
    <row r="43" spans="1:18">
      <c r="A43" s="48"/>
      <c r="E43" s="11"/>
    </row>
    <row r="44" spans="1:18">
      <c r="A44" s="12"/>
      <c r="E44" s="11"/>
    </row>
    <row r="45" spans="1:18">
      <c r="A45" s="12"/>
      <c r="E45" s="11"/>
    </row>
    <row r="46" spans="1:18">
      <c r="A46" s="12"/>
      <c r="E46" s="11"/>
    </row>
    <row r="47" spans="1:18">
      <c r="A47" s="12"/>
      <c r="E47" s="11"/>
    </row>
    <row r="48" spans="1:18">
      <c r="A48" s="12"/>
      <c r="E48" s="11"/>
    </row>
    <row r="49" spans="1:18">
      <c r="A49" s="12"/>
      <c r="E49" s="11"/>
    </row>
    <row r="50" spans="1:18">
      <c r="A50" s="12"/>
      <c r="E50" s="11"/>
    </row>
    <row r="51" spans="1:18">
      <c r="A51" s="12"/>
      <c r="E51" s="11"/>
    </row>
    <row r="52" spans="1:18">
      <c r="A52" s="12"/>
      <c r="E52" s="11"/>
    </row>
    <row r="53" spans="1:18">
      <c r="A53" s="12"/>
      <c r="E53" s="11"/>
    </row>
    <row r="54" spans="1:18">
      <c r="A54" s="12"/>
      <c r="E54" s="11"/>
    </row>
    <row r="55" spans="1:18">
      <c r="A55" s="12"/>
      <c r="E55" s="11"/>
    </row>
    <row r="56" spans="1:18">
      <c r="A56" s="12"/>
      <c r="E56" s="11"/>
    </row>
    <row r="57" spans="1:18">
      <c r="A57" s="12"/>
      <c r="E57" s="11"/>
    </row>
    <row r="58" spans="1:18">
      <c r="A58" s="12"/>
      <c r="E58" s="11"/>
    </row>
    <row r="59" spans="1:18">
      <c r="A59" s="12"/>
      <c r="E59" s="11"/>
    </row>
    <row r="60" spans="1:18">
      <c r="A60" s="12"/>
      <c r="E60" s="11"/>
    </row>
    <row r="61" spans="1:18">
      <c r="A61" s="12"/>
      <c r="E61" s="11"/>
    </row>
    <row r="62" spans="1:18" hidden="1">
      <c r="A62" s="19" t="s">
        <v>52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</row>
    <row r="63" spans="1:18" hidden="1">
      <c r="A63" s="180" t="s">
        <v>53</v>
      </c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</row>
    <row r="64" spans="1:18" hidden="1">
      <c r="A64" s="4" t="s">
        <v>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hidden="1">
      <c r="A65" s="73"/>
      <c r="B65" s="73"/>
      <c r="C65" s="73"/>
      <c r="D65" s="73"/>
      <c r="E65" s="73"/>
      <c r="F65" s="73"/>
    </row>
    <row r="66" spans="1:18" hidden="1">
      <c r="A66" s="73"/>
      <c r="B66" s="73"/>
      <c r="C66" s="73"/>
      <c r="D66" s="73"/>
      <c r="E66" s="73"/>
      <c r="F66" s="73"/>
    </row>
    <row r="67" spans="1:18" ht="16.5" hidden="1" customHeight="1">
      <c r="A67" s="182" t="s">
        <v>1</v>
      </c>
      <c r="B67" s="183"/>
      <c r="C67" s="183"/>
      <c r="D67" s="183"/>
      <c r="E67" s="183"/>
      <c r="F67" s="74" t="s">
        <v>5</v>
      </c>
      <c r="G67" s="74" t="s">
        <v>23</v>
      </c>
      <c r="H67" s="74" t="s">
        <v>24</v>
      </c>
      <c r="I67" s="74" t="s">
        <v>26</v>
      </c>
      <c r="J67" s="74" t="s">
        <v>27</v>
      </c>
      <c r="K67" s="74" t="s">
        <v>34</v>
      </c>
      <c r="L67" s="74" t="s">
        <v>28</v>
      </c>
      <c r="M67" s="74" t="s">
        <v>29</v>
      </c>
      <c r="N67" s="74" t="s">
        <v>30</v>
      </c>
      <c r="O67" s="74" t="s">
        <v>31</v>
      </c>
      <c r="P67" s="74" t="s">
        <v>32</v>
      </c>
      <c r="Q67" s="74" t="s">
        <v>32</v>
      </c>
      <c r="R67" s="75" t="s">
        <v>33</v>
      </c>
    </row>
    <row r="68" spans="1:18" hidden="1"/>
    <row r="69" spans="1:18" hidden="1">
      <c r="A69" s="1" t="s">
        <v>17</v>
      </c>
      <c r="B69" s="1"/>
      <c r="C69" s="1"/>
      <c r="D69" s="1"/>
      <c r="E69" s="1"/>
      <c r="F69" s="13">
        <v>549746</v>
      </c>
      <c r="G69" s="13">
        <v>545917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549808.24199999997</v>
      </c>
    </row>
    <row r="70" spans="1:18" hidden="1">
      <c r="A70" s="1"/>
      <c r="B70" s="1"/>
      <c r="C70" s="1"/>
      <c r="D70" s="1"/>
      <c r="E70" s="1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 spans="1:18" hidden="1">
      <c r="A71" s="1"/>
      <c r="B71" s="1" t="s">
        <v>18</v>
      </c>
      <c r="C71" s="1"/>
      <c r="D71" s="1"/>
      <c r="E71" s="1"/>
      <c r="F71" s="13">
        <v>100448</v>
      </c>
      <c r="G71" s="13">
        <v>100447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100448.242</v>
      </c>
    </row>
    <row r="72" spans="1:18" hidden="1">
      <c r="A72" s="1"/>
      <c r="B72" s="1"/>
      <c r="C72" s="1"/>
      <c r="D72" s="1"/>
      <c r="E72" s="1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8" hidden="1">
      <c r="C73" s="2" t="s">
        <v>9</v>
      </c>
      <c r="F73" s="15">
        <v>100312</v>
      </c>
      <c r="G73" s="15">
        <v>100311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100312</v>
      </c>
    </row>
    <row r="74" spans="1:18" hidden="1">
      <c r="C74" s="2" t="s">
        <v>19</v>
      </c>
      <c r="F74" s="14">
        <v>136</v>
      </c>
      <c r="G74" s="14">
        <v>136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136.24200000000002</v>
      </c>
    </row>
    <row r="75" spans="1:18" hidden="1">
      <c r="D75" s="2" t="s">
        <v>20</v>
      </c>
      <c r="F75" s="15">
        <v>37</v>
      </c>
      <c r="G75" s="15">
        <v>37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37</v>
      </c>
    </row>
    <row r="76" spans="1:18" hidden="1">
      <c r="D76" s="2" t="s">
        <v>15</v>
      </c>
      <c r="F76" s="15">
        <v>99</v>
      </c>
      <c r="G76" s="15">
        <v>99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99.242000000000004</v>
      </c>
    </row>
    <row r="77" spans="1:18" hidden="1"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hidden="1">
      <c r="A78" s="1"/>
      <c r="B78" s="1" t="s">
        <v>54</v>
      </c>
      <c r="C78" s="1"/>
      <c r="D78" s="1"/>
      <c r="E78" s="1"/>
      <c r="F78" s="13">
        <v>449298</v>
      </c>
      <c r="G78" s="13">
        <v>445470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449360</v>
      </c>
    </row>
    <row r="79" spans="1:18" hidden="1">
      <c r="A79" s="1"/>
      <c r="B79" s="1"/>
      <c r="C79" s="1"/>
      <c r="D79" s="1"/>
      <c r="E79" s="1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1:18" hidden="1">
      <c r="C80" s="2" t="s">
        <v>9</v>
      </c>
      <c r="F80" s="15">
        <v>445511</v>
      </c>
      <c r="G80" s="15">
        <v>441716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445595</v>
      </c>
    </row>
    <row r="81" spans="1:18" hidden="1">
      <c r="C81" s="2" t="s">
        <v>19</v>
      </c>
      <c r="F81" s="14">
        <v>3787</v>
      </c>
      <c r="G81" s="14">
        <v>3754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3765</v>
      </c>
    </row>
    <row r="82" spans="1:18" hidden="1">
      <c r="D82" s="2" t="s">
        <v>12</v>
      </c>
      <c r="F82" s="15">
        <v>3753</v>
      </c>
      <c r="G82" s="15">
        <v>3719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3730</v>
      </c>
    </row>
    <row r="83" spans="1:18" hidden="1">
      <c r="D83" s="2" t="s">
        <v>13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</row>
    <row r="84" spans="1:18" hidden="1">
      <c r="D84" s="2" t="s">
        <v>21</v>
      </c>
      <c r="F84" s="15">
        <v>34</v>
      </c>
      <c r="G84" s="15">
        <v>35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35</v>
      </c>
    </row>
    <row r="85" spans="1:18" hidden="1">
      <c r="D85" s="2" t="s">
        <v>15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</row>
    <row r="86" spans="1:18" hidden="1"/>
    <row r="87" spans="1:18" hidden="1"/>
    <row r="88" spans="1:18" hidden="1">
      <c r="A88" s="8"/>
      <c r="B88" s="9"/>
      <c r="C88" s="9"/>
      <c r="D88" s="9"/>
    </row>
    <row r="89" spans="1:18" hidden="1">
      <c r="A89" s="2" t="s">
        <v>11</v>
      </c>
    </row>
    <row r="90" spans="1:18" hidden="1"/>
    <row r="91" spans="1:18" hidden="1"/>
    <row r="92" spans="1:18" hidden="1"/>
    <row r="93" spans="1:18" hidden="1"/>
    <row r="94" spans="1:18" hidden="1"/>
    <row r="95" spans="1:18" hidden="1"/>
    <row r="96" spans="1:18" hidden="1"/>
    <row r="97" hidden="1"/>
    <row r="98" hidden="1"/>
    <row r="99" hidden="1"/>
    <row r="100" hidden="1"/>
    <row r="101" hidden="1"/>
  </sheetData>
  <mergeCells count="3">
    <mergeCell ref="A67:E67"/>
    <mergeCell ref="A5:E5"/>
    <mergeCell ref="A63:R63"/>
  </mergeCells>
  <printOptions horizontalCentered="1"/>
  <pageMargins left="0.23622047244094491" right="0" top="0.98425196850393704" bottom="0.23622047244094491" header="0.51181102362204722" footer="0.51181102362204722"/>
  <pageSetup paperSize="9" scale="7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85E0-13A5-43FA-BE51-73765815F9E5}">
  <sheetPr>
    <pageSetUpPr fitToPage="1"/>
  </sheetPr>
  <dimension ref="A1:IT130"/>
  <sheetViews>
    <sheetView workbookViewId="0">
      <pane xSplit="5" ySplit="1" topLeftCell="F2" activePane="bottomRight" state="frozen"/>
      <selection pane="topRight" activeCell="F1" sqref="F1"/>
      <selection pane="bottomLeft" activeCell="A8" sqref="A8"/>
      <selection pane="bottomRight" activeCell="P95" sqref="P9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1.28515625" style="2" customWidth="1"/>
    <col min="6" max="6" width="9" style="2" customWidth="1"/>
    <col min="7" max="7" width="8.42578125" style="2" customWidth="1"/>
    <col min="8" max="8" width="7.5703125" style="2" customWidth="1"/>
    <col min="9" max="9" width="7.42578125" style="2" customWidth="1"/>
    <col min="10" max="10" width="8" style="2" customWidth="1"/>
    <col min="11" max="11" width="7.7109375" style="2" customWidth="1"/>
    <col min="12" max="12" width="7.85546875" style="2" customWidth="1"/>
    <col min="13" max="13" width="8.140625" style="2" customWidth="1"/>
    <col min="14" max="14" width="7.7109375" style="2" customWidth="1"/>
    <col min="15" max="15" width="7.85546875" style="2" customWidth="1"/>
    <col min="16" max="17" width="8.140625" style="2" customWidth="1"/>
    <col min="18" max="18" width="9.85546875" style="2" hidden="1" customWidth="1"/>
    <col min="19" max="19" width="1" style="2" customWidth="1"/>
    <col min="20" max="16384" width="9.140625" style="2"/>
  </cols>
  <sheetData>
    <row r="1" spans="1:19" hidden="1">
      <c r="A1" s="136" t="s">
        <v>25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</row>
    <row r="2" spans="1:19" hidden="1">
      <c r="A2" s="200" t="s">
        <v>53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9" hidden="1">
      <c r="A3" s="201" t="s">
        <v>0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</row>
    <row r="4" spans="1:19" hidden="1">
      <c r="A4" s="4"/>
    </row>
    <row r="5" spans="1:19" hidden="1">
      <c r="A5" s="4"/>
    </row>
    <row r="6" spans="1:19" ht="16.5" hidden="1" customHeight="1">
      <c r="A6" s="182" t="s">
        <v>1</v>
      </c>
      <c r="B6" s="183"/>
      <c r="C6" s="183"/>
      <c r="D6" s="183"/>
      <c r="E6" s="183"/>
      <c r="F6" s="74" t="s">
        <v>5</v>
      </c>
      <c r="G6" s="74" t="s">
        <v>23</v>
      </c>
      <c r="H6" s="74" t="s">
        <v>24</v>
      </c>
      <c r="I6" s="74" t="s">
        <v>26</v>
      </c>
      <c r="J6" s="74" t="s">
        <v>27</v>
      </c>
      <c r="K6" s="74" t="s">
        <v>34</v>
      </c>
      <c r="L6" s="74" t="s">
        <v>28</v>
      </c>
      <c r="M6" s="74" t="s">
        <v>29</v>
      </c>
      <c r="N6" s="74" t="s">
        <v>30</v>
      </c>
      <c r="O6" s="74" t="s">
        <v>31</v>
      </c>
      <c r="P6" s="74" t="s">
        <v>32</v>
      </c>
      <c r="Q6" s="74" t="s">
        <v>32</v>
      </c>
      <c r="R6" s="75" t="s">
        <v>33</v>
      </c>
      <c r="S6" s="147"/>
    </row>
    <row r="7" spans="1:19" ht="16.5" hidden="1" customHeight="1">
      <c r="A7" s="46"/>
      <c r="B7" s="46"/>
      <c r="C7" s="46"/>
      <c r="D7" s="46"/>
      <c r="E7" s="46"/>
      <c r="F7" s="47"/>
    </row>
    <row r="8" spans="1:19" ht="14.25" hidden="1" customHeight="1">
      <c r="A8" s="1" t="s">
        <v>6</v>
      </c>
      <c r="B8" s="1"/>
      <c r="C8" s="1"/>
      <c r="D8" s="1"/>
      <c r="E8" s="1"/>
      <c r="F8" s="13">
        <f>+F9+F14</f>
        <v>2674899</v>
      </c>
      <c r="G8" s="13">
        <f t="shared" ref="G8:Q8" si="0">+G9+G14</f>
        <v>2664234</v>
      </c>
      <c r="H8" s="13">
        <f t="shared" si="0"/>
        <v>0</v>
      </c>
      <c r="I8" s="13">
        <f t="shared" si="0"/>
        <v>0</v>
      </c>
      <c r="J8" s="13">
        <f t="shared" si="0"/>
        <v>0</v>
      </c>
      <c r="K8" s="13">
        <f t="shared" si="0"/>
        <v>0</v>
      </c>
      <c r="L8" s="13">
        <f t="shared" si="0"/>
        <v>0</v>
      </c>
      <c r="M8" s="13">
        <f t="shared" si="0"/>
        <v>0</v>
      </c>
      <c r="N8" s="13">
        <f t="shared" si="0"/>
        <v>0</v>
      </c>
      <c r="O8" s="13">
        <f t="shared" si="0"/>
        <v>0</v>
      </c>
      <c r="P8" s="13">
        <f>+P9+P14</f>
        <v>0</v>
      </c>
      <c r="Q8" s="13">
        <f t="shared" si="0"/>
        <v>0</v>
      </c>
      <c r="R8" s="13">
        <f>+R9+R14</f>
        <v>0</v>
      </c>
    </row>
    <row r="9" spans="1:19" hidden="1">
      <c r="B9" s="2" t="s">
        <v>9</v>
      </c>
      <c r="F9" s="14">
        <f>+F10+F11+F12</f>
        <v>2672605</v>
      </c>
      <c r="G9" s="14">
        <f t="shared" ref="G9:Q9" si="1">+G10+G11+G12</f>
        <v>2661940</v>
      </c>
      <c r="H9" s="14">
        <f t="shared" si="1"/>
        <v>0</v>
      </c>
      <c r="I9" s="14">
        <f t="shared" si="1"/>
        <v>0</v>
      </c>
      <c r="J9" s="14">
        <f t="shared" si="1"/>
        <v>0</v>
      </c>
      <c r="K9" s="14">
        <f t="shared" si="1"/>
        <v>0</v>
      </c>
      <c r="L9" s="14">
        <f t="shared" si="1"/>
        <v>0</v>
      </c>
      <c r="M9" s="14">
        <f t="shared" si="1"/>
        <v>0</v>
      </c>
      <c r="N9" s="14">
        <f t="shared" si="1"/>
        <v>0</v>
      </c>
      <c r="O9" s="14">
        <f t="shared" si="1"/>
        <v>0</v>
      </c>
      <c r="P9" s="14">
        <f>+P10+P11+P12</f>
        <v>0</v>
      </c>
      <c r="Q9" s="14">
        <f t="shared" si="1"/>
        <v>0</v>
      </c>
      <c r="R9" s="14">
        <f>+R10+R11+R12</f>
        <v>0</v>
      </c>
    </row>
    <row r="10" spans="1:19" ht="15" hidden="1" customHeight="1">
      <c r="C10" s="2" t="s">
        <v>169</v>
      </c>
      <c r="F10" s="15">
        <v>2665806</v>
      </c>
      <c r="G10" s="15">
        <v>2655141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</row>
    <row r="11" spans="1:19" hidden="1">
      <c r="C11" s="2" t="s">
        <v>2</v>
      </c>
      <c r="F11" s="15">
        <v>6799</v>
      </c>
      <c r="G11" s="15">
        <v>6799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</row>
    <row r="12" spans="1:19" hidden="1">
      <c r="C12" s="2" t="s">
        <v>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</row>
    <row r="13" spans="1:19" ht="8.25" hidden="1" customHeight="1"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9" hidden="1">
      <c r="B14" s="2" t="s">
        <v>4</v>
      </c>
      <c r="F14" s="14">
        <f>SUM(F15:F18)</f>
        <v>2294</v>
      </c>
      <c r="G14" s="14">
        <f t="shared" ref="G14:Q14" si="2">SUM(G15:G18)</f>
        <v>2294</v>
      </c>
      <c r="H14" s="14">
        <f t="shared" si="2"/>
        <v>0</v>
      </c>
      <c r="I14" s="14">
        <f t="shared" si="2"/>
        <v>0</v>
      </c>
      <c r="J14" s="14">
        <f t="shared" si="2"/>
        <v>0</v>
      </c>
      <c r="K14" s="14">
        <f t="shared" si="2"/>
        <v>0</v>
      </c>
      <c r="L14" s="14">
        <f t="shared" si="2"/>
        <v>0</v>
      </c>
      <c r="M14" s="14">
        <f t="shared" si="2"/>
        <v>0</v>
      </c>
      <c r="N14" s="14">
        <f t="shared" si="2"/>
        <v>0</v>
      </c>
      <c r="O14" s="14">
        <f t="shared" si="2"/>
        <v>0</v>
      </c>
      <c r="P14" s="14">
        <f>SUM(P15:P18)</f>
        <v>0</v>
      </c>
      <c r="Q14" s="14">
        <f t="shared" si="2"/>
        <v>0</v>
      </c>
      <c r="R14" s="14">
        <f>SUM(R15:R18)</f>
        <v>0</v>
      </c>
    </row>
    <row r="15" spans="1:19" hidden="1">
      <c r="C15" s="2" t="s">
        <v>12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</row>
    <row r="16" spans="1:19" hidden="1">
      <c r="C16" s="2" t="s">
        <v>13</v>
      </c>
      <c r="F16" s="15">
        <v>2288</v>
      </c>
      <c r="G16" s="15">
        <v>2288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</row>
    <row r="17" spans="1:18" hidden="1">
      <c r="C17" s="2" t="s">
        <v>14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</row>
    <row r="18" spans="1:18" hidden="1">
      <c r="C18" s="2" t="s">
        <v>15</v>
      </c>
      <c r="F18" s="15">
        <v>6</v>
      </c>
      <c r="G18" s="15">
        <v>6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</row>
    <row r="19" spans="1:18" hidden="1"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ht="15" hidden="1" customHeight="1">
      <c r="A20" s="1" t="s">
        <v>170</v>
      </c>
      <c r="B20" s="1"/>
      <c r="C20" s="1"/>
      <c r="D20" s="1"/>
      <c r="E20" s="1"/>
      <c r="F20" s="13">
        <f>+F21+F25+F34</f>
        <v>2065756</v>
      </c>
      <c r="G20" s="13">
        <f t="shared" ref="G20:Q20" si="3">+G21+G25+G34</f>
        <v>1991061</v>
      </c>
      <c r="H20" s="13">
        <f t="shared" si="3"/>
        <v>0</v>
      </c>
      <c r="I20" s="13">
        <f t="shared" si="3"/>
        <v>0</v>
      </c>
      <c r="J20" s="13">
        <f t="shared" si="3"/>
        <v>0</v>
      </c>
      <c r="K20" s="13">
        <f t="shared" si="3"/>
        <v>0</v>
      </c>
      <c r="L20" s="13">
        <f t="shared" si="3"/>
        <v>0</v>
      </c>
      <c r="M20" s="13">
        <f t="shared" si="3"/>
        <v>0</v>
      </c>
      <c r="N20" s="13">
        <f t="shared" si="3"/>
        <v>0</v>
      </c>
      <c r="O20" s="13">
        <f t="shared" si="3"/>
        <v>0</v>
      </c>
      <c r="P20" s="13">
        <f>+P21+P25+P34</f>
        <v>0</v>
      </c>
      <c r="Q20" s="13">
        <f t="shared" si="3"/>
        <v>0</v>
      </c>
      <c r="R20" s="13">
        <f>+R21+R25+R34</f>
        <v>0</v>
      </c>
    </row>
    <row r="21" spans="1:18" ht="15.75" hidden="1" customHeight="1">
      <c r="B21" s="2" t="s">
        <v>10</v>
      </c>
      <c r="F21" s="14">
        <f>+F22+F23</f>
        <v>832853</v>
      </c>
      <c r="G21" s="14">
        <f t="shared" ref="G21:Q21" si="4">+G22+G23</f>
        <v>823231</v>
      </c>
      <c r="H21" s="14">
        <f t="shared" si="4"/>
        <v>0</v>
      </c>
      <c r="I21" s="14">
        <f t="shared" si="4"/>
        <v>0</v>
      </c>
      <c r="J21" s="14">
        <f t="shared" si="4"/>
        <v>0</v>
      </c>
      <c r="K21" s="14">
        <f t="shared" si="4"/>
        <v>0</v>
      </c>
      <c r="L21" s="14">
        <f t="shared" si="4"/>
        <v>0</v>
      </c>
      <c r="M21" s="14">
        <f t="shared" si="4"/>
        <v>0</v>
      </c>
      <c r="N21" s="14">
        <f t="shared" si="4"/>
        <v>0</v>
      </c>
      <c r="O21" s="14">
        <f t="shared" si="4"/>
        <v>0</v>
      </c>
      <c r="P21" s="14">
        <f>+P22+P23</f>
        <v>0</v>
      </c>
      <c r="Q21" s="14">
        <f t="shared" si="4"/>
        <v>0</v>
      </c>
      <c r="R21" s="14">
        <f>+R22+R23</f>
        <v>0</v>
      </c>
    </row>
    <row r="22" spans="1:18" hidden="1">
      <c r="C22" s="2" t="s">
        <v>2</v>
      </c>
      <c r="F22" s="15">
        <v>765797</v>
      </c>
      <c r="G22" s="15">
        <v>756887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</row>
    <row r="23" spans="1:18" hidden="1">
      <c r="C23" s="2" t="s">
        <v>3</v>
      </c>
      <c r="F23" s="15">
        <v>67056</v>
      </c>
      <c r="G23" s="15">
        <v>66344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</row>
    <row r="24" spans="1:18" ht="9" hidden="1" customHeight="1"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hidden="1">
      <c r="B25" s="2" t="s">
        <v>4</v>
      </c>
      <c r="F25" s="14">
        <f>+F26+F32</f>
        <v>20</v>
      </c>
      <c r="G25" s="14">
        <f t="shared" ref="G25:Q25" si="5">+G26+G32</f>
        <v>20</v>
      </c>
      <c r="H25" s="14">
        <f t="shared" si="5"/>
        <v>0</v>
      </c>
      <c r="I25" s="14">
        <f t="shared" si="5"/>
        <v>0</v>
      </c>
      <c r="J25" s="14">
        <f t="shared" si="5"/>
        <v>0</v>
      </c>
      <c r="K25" s="14">
        <f t="shared" si="5"/>
        <v>0</v>
      </c>
      <c r="L25" s="14">
        <f t="shared" si="5"/>
        <v>0</v>
      </c>
      <c r="M25" s="14">
        <f t="shared" si="5"/>
        <v>0</v>
      </c>
      <c r="N25" s="14">
        <f t="shared" si="5"/>
        <v>0</v>
      </c>
      <c r="O25" s="14">
        <f t="shared" si="5"/>
        <v>0</v>
      </c>
      <c r="P25" s="14">
        <f>+P26+P32</f>
        <v>0</v>
      </c>
      <c r="Q25" s="14">
        <f t="shared" si="5"/>
        <v>0</v>
      </c>
      <c r="R25" s="14">
        <f>+R26+R32</f>
        <v>0</v>
      </c>
    </row>
    <row r="26" spans="1:18" hidden="1">
      <c r="C26" s="2" t="s">
        <v>171</v>
      </c>
      <c r="F26" s="14">
        <f>SUM(F27:F31)</f>
        <v>20</v>
      </c>
      <c r="G26" s="14">
        <f t="shared" ref="G26:Q26" si="6">SUM(G27:G31)</f>
        <v>20</v>
      </c>
      <c r="H26" s="14">
        <f t="shared" si="6"/>
        <v>0</v>
      </c>
      <c r="I26" s="14">
        <f t="shared" si="6"/>
        <v>0</v>
      </c>
      <c r="J26" s="14">
        <f t="shared" si="6"/>
        <v>0</v>
      </c>
      <c r="K26" s="14">
        <f t="shared" si="6"/>
        <v>0</v>
      </c>
      <c r="L26" s="14">
        <f t="shared" si="6"/>
        <v>0</v>
      </c>
      <c r="M26" s="14">
        <f t="shared" si="6"/>
        <v>0</v>
      </c>
      <c r="N26" s="14">
        <f t="shared" si="6"/>
        <v>0</v>
      </c>
      <c r="O26" s="14">
        <f t="shared" si="6"/>
        <v>0</v>
      </c>
      <c r="P26" s="14">
        <f>SUM(P27:P31)</f>
        <v>0</v>
      </c>
      <c r="Q26" s="14">
        <f t="shared" si="6"/>
        <v>0</v>
      </c>
      <c r="R26" s="14">
        <f>SUM(R27:R31)</f>
        <v>0</v>
      </c>
    </row>
    <row r="27" spans="1:18" hidden="1">
      <c r="D27" s="2" t="s">
        <v>12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</row>
    <row r="28" spans="1:18" hidden="1">
      <c r="D28" s="2" t="s">
        <v>13</v>
      </c>
      <c r="F28" s="15">
        <v>4</v>
      </c>
      <c r="G28" s="15">
        <v>4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</row>
    <row r="29" spans="1:18" hidden="1">
      <c r="D29" s="2" t="s">
        <v>14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</row>
    <row r="30" spans="1:18" hidden="1">
      <c r="D30" s="2" t="s">
        <v>15</v>
      </c>
      <c r="F30" s="15">
        <v>16</v>
      </c>
      <c r="G30" s="15">
        <v>16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</row>
    <row r="31" spans="1:18" hidden="1">
      <c r="D31" s="2" t="s">
        <v>16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</row>
    <row r="32" spans="1:18" hidden="1">
      <c r="C32" s="2" t="s">
        <v>172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</row>
    <row r="33" spans="1:254" ht="11.25" hidden="1" customHeight="1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254" hidden="1">
      <c r="B34" s="2" t="s">
        <v>173</v>
      </c>
      <c r="F34" s="15">
        <v>1232883</v>
      </c>
      <c r="G34" s="15">
        <v>1167810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</row>
    <row r="35" spans="1:254" hidden="1">
      <c r="IT35" s="2">
        <v>0</v>
      </c>
    </row>
    <row r="36" spans="1:254" hidden="1"/>
    <row r="37" spans="1:254" hidden="1">
      <c r="C37" s="1" t="s">
        <v>7</v>
      </c>
      <c r="D37" s="1"/>
      <c r="E37" s="1"/>
      <c r="F37" s="41">
        <f t="shared" ref="F37:R37" si="7">+F8+F20</f>
        <v>4740655</v>
      </c>
      <c r="G37" s="41">
        <f t="shared" si="7"/>
        <v>4655295</v>
      </c>
      <c r="H37" s="41">
        <f t="shared" si="7"/>
        <v>0</v>
      </c>
      <c r="I37" s="41">
        <f t="shared" si="7"/>
        <v>0</v>
      </c>
      <c r="J37" s="41">
        <f t="shared" si="7"/>
        <v>0</v>
      </c>
      <c r="K37" s="41">
        <f>+K8+K20</f>
        <v>0</v>
      </c>
      <c r="L37" s="41">
        <f t="shared" si="7"/>
        <v>0</v>
      </c>
      <c r="M37" s="41">
        <f t="shared" si="7"/>
        <v>0</v>
      </c>
      <c r="N37" s="41">
        <f t="shared" si="7"/>
        <v>0</v>
      </c>
      <c r="O37" s="41">
        <f t="shared" si="7"/>
        <v>0</v>
      </c>
      <c r="P37" s="41">
        <f t="shared" si="7"/>
        <v>0</v>
      </c>
      <c r="Q37" s="41">
        <f t="shared" si="7"/>
        <v>0</v>
      </c>
      <c r="R37" s="41">
        <f t="shared" si="7"/>
        <v>0</v>
      </c>
    </row>
    <row r="38" spans="1:254" hidden="1">
      <c r="A38" s="8"/>
      <c r="B38" s="9"/>
      <c r="C38" s="9"/>
      <c r="D38" s="9"/>
    </row>
    <row r="39" spans="1:254" hidden="1">
      <c r="A39" s="2" t="s">
        <v>11</v>
      </c>
    </row>
    <row r="40" spans="1:254" hidden="1">
      <c r="A40" s="1"/>
    </row>
    <row r="41" spans="1:254" s="11" customFormat="1" hidden="1">
      <c r="A41" s="10" t="s">
        <v>8</v>
      </c>
      <c r="B41" s="10"/>
      <c r="C41" s="10"/>
      <c r="D41" s="10"/>
      <c r="E41" s="10"/>
      <c r="F41" s="71">
        <v>44.1</v>
      </c>
      <c r="G41" s="71">
        <v>43.7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0</v>
      </c>
    </row>
    <row r="42" spans="1:254" s="11" customFormat="1" hidden="1">
      <c r="A42" s="10"/>
      <c r="B42" s="10"/>
      <c r="C42" s="10"/>
      <c r="D42" s="10"/>
      <c r="E42" s="10"/>
    </row>
    <row r="43" spans="1:254" s="11" customFormat="1" hidden="1">
      <c r="A43" s="10"/>
      <c r="B43" s="10"/>
      <c r="C43" s="10"/>
      <c r="D43" s="10"/>
      <c r="E43" s="10"/>
    </row>
    <row r="44" spans="1:254" hidden="1">
      <c r="A44" s="11" t="s">
        <v>22</v>
      </c>
    </row>
    <row r="45" spans="1:254" hidden="1">
      <c r="A45" s="11"/>
    </row>
    <row r="46" spans="1:254" hidden="1">
      <c r="A46" s="48"/>
      <c r="E46" s="11"/>
    </row>
    <row r="47" spans="1:254" hidden="1">
      <c r="A47" s="12"/>
      <c r="E47" s="11"/>
    </row>
    <row r="48" spans="1:254" hidden="1">
      <c r="A48" s="12"/>
      <c r="E48" s="11"/>
    </row>
    <row r="49" spans="1:5" hidden="1">
      <c r="A49" s="12"/>
      <c r="E49" s="11"/>
    </row>
    <row r="50" spans="1:5" hidden="1">
      <c r="A50" s="12"/>
      <c r="E50" s="11"/>
    </row>
    <row r="51" spans="1:5" hidden="1">
      <c r="A51" s="12"/>
      <c r="E51" s="11"/>
    </row>
    <row r="52" spans="1:5" hidden="1">
      <c r="A52" s="12"/>
      <c r="E52" s="11"/>
    </row>
    <row r="53" spans="1:5" hidden="1">
      <c r="A53" s="12"/>
      <c r="E53" s="11"/>
    </row>
    <row r="54" spans="1:5" hidden="1">
      <c r="A54" s="12"/>
      <c r="E54" s="11"/>
    </row>
    <row r="55" spans="1:5" hidden="1">
      <c r="A55" s="12"/>
      <c r="E55" s="11"/>
    </row>
    <row r="56" spans="1:5" hidden="1">
      <c r="A56" s="12"/>
      <c r="E56" s="11"/>
    </row>
    <row r="57" spans="1:5" hidden="1">
      <c r="A57" s="12"/>
      <c r="E57" s="11"/>
    </row>
    <row r="58" spans="1:5" hidden="1">
      <c r="A58" s="12"/>
      <c r="E58" s="11"/>
    </row>
    <row r="59" spans="1:5" hidden="1">
      <c r="A59" s="12"/>
      <c r="E59" s="11"/>
    </row>
    <row r="60" spans="1:5" hidden="1">
      <c r="A60" s="12"/>
      <c r="E60" s="11"/>
    </row>
    <row r="61" spans="1:5" hidden="1">
      <c r="A61" s="12"/>
      <c r="E61" s="11"/>
    </row>
    <row r="62" spans="1:5" hidden="1">
      <c r="A62" s="12"/>
      <c r="E62" s="11"/>
    </row>
    <row r="63" spans="1:5" hidden="1">
      <c r="A63" s="12"/>
      <c r="E63" s="11"/>
    </row>
    <row r="64" spans="1:5" hidden="1">
      <c r="A64" s="12"/>
      <c r="E64" s="11"/>
    </row>
    <row r="65" spans="1:19">
      <c r="A65" s="136" t="s">
        <v>52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</row>
    <row r="66" spans="1:19">
      <c r="A66" s="136" t="s">
        <v>56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</row>
    <row r="67" spans="1:19">
      <c r="A67" s="137" t="s">
        <v>0</v>
      </c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</row>
    <row r="68" spans="1:19">
      <c r="A68" s="138"/>
      <c r="B68" s="138"/>
      <c r="C68" s="138"/>
      <c r="D68" s="138"/>
      <c r="E68" s="138"/>
      <c r="F68" s="138"/>
    </row>
    <row r="69" spans="1:19" ht="18" customHeight="1">
      <c r="A69" s="177" t="s">
        <v>1</v>
      </c>
      <c r="B69" s="178"/>
      <c r="C69" s="178"/>
      <c r="D69" s="178"/>
      <c r="E69" s="178"/>
      <c r="F69" s="18" t="s">
        <v>5</v>
      </c>
      <c r="G69" s="18" t="s">
        <v>23</v>
      </c>
      <c r="H69" s="18" t="s">
        <v>24</v>
      </c>
      <c r="I69" s="18" t="s">
        <v>26</v>
      </c>
      <c r="J69" s="18" t="s">
        <v>27</v>
      </c>
      <c r="K69" s="18" t="s">
        <v>34</v>
      </c>
      <c r="L69" s="18" t="s">
        <v>28</v>
      </c>
      <c r="M69" s="18" t="s">
        <v>29</v>
      </c>
      <c r="N69" s="18" t="s">
        <v>30</v>
      </c>
      <c r="O69" s="18" t="s">
        <v>31</v>
      </c>
      <c r="P69" s="18" t="s">
        <v>32</v>
      </c>
      <c r="Q69" s="18" t="s">
        <v>33</v>
      </c>
      <c r="R69" s="39" t="s">
        <v>33</v>
      </c>
      <c r="S69" s="148"/>
    </row>
    <row r="71" spans="1:19">
      <c r="A71" s="1" t="s">
        <v>17</v>
      </c>
      <c r="B71" s="1"/>
      <c r="C71" s="1"/>
      <c r="D71" s="1"/>
      <c r="E71" s="1"/>
      <c r="F71" s="13">
        <f>+F73+F80</f>
        <v>549746</v>
      </c>
      <c r="G71" s="13">
        <f t="shared" ref="G71:Q71" si="8">+G73+G80</f>
        <v>545917</v>
      </c>
      <c r="H71" s="13">
        <f t="shared" si="8"/>
        <v>525131</v>
      </c>
      <c r="I71" s="13">
        <f t="shared" si="8"/>
        <v>518691</v>
      </c>
      <c r="J71" s="13">
        <f t="shared" si="8"/>
        <v>569298</v>
      </c>
      <c r="K71" s="13">
        <f t="shared" si="8"/>
        <v>594942</v>
      </c>
      <c r="L71" s="13">
        <f t="shared" si="8"/>
        <v>586614</v>
      </c>
      <c r="M71" s="13">
        <f t="shared" si="8"/>
        <v>574750</v>
      </c>
      <c r="N71" s="13">
        <f t="shared" si="8"/>
        <v>583387</v>
      </c>
      <c r="O71" s="13">
        <f t="shared" si="8"/>
        <v>577830</v>
      </c>
      <c r="P71" s="13">
        <f>+P73+P80</f>
        <v>578698</v>
      </c>
      <c r="Q71" s="13">
        <f t="shared" si="8"/>
        <v>573372</v>
      </c>
      <c r="R71" s="13">
        <f>+R73+R80</f>
        <v>549808.24199999997</v>
      </c>
    </row>
    <row r="72" spans="1:19">
      <c r="A72" s="1"/>
      <c r="B72" s="1"/>
      <c r="C72" s="1"/>
      <c r="D72" s="1"/>
      <c r="E72" s="1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 spans="1:19">
      <c r="A73" s="1"/>
      <c r="B73" s="1" t="s">
        <v>18</v>
      </c>
      <c r="C73" s="1"/>
      <c r="D73" s="1"/>
      <c r="E73" s="1"/>
      <c r="F73" s="13">
        <f>+F75+F76</f>
        <v>100448</v>
      </c>
      <c r="G73" s="13">
        <f t="shared" ref="G73:Q73" si="9">+G75+G76</f>
        <v>100447</v>
      </c>
      <c r="H73" s="13">
        <f t="shared" si="9"/>
        <v>91647</v>
      </c>
      <c r="I73" s="13">
        <f t="shared" si="9"/>
        <v>91646</v>
      </c>
      <c r="J73" s="13">
        <f t="shared" si="9"/>
        <v>138646</v>
      </c>
      <c r="K73" s="13">
        <f t="shared" si="9"/>
        <v>163645</v>
      </c>
      <c r="L73" s="13">
        <f t="shared" si="9"/>
        <v>161644</v>
      </c>
      <c r="M73" s="13">
        <f t="shared" si="9"/>
        <v>161456</v>
      </c>
      <c r="N73" s="13">
        <f t="shared" si="9"/>
        <v>161456</v>
      </c>
      <c r="O73" s="13">
        <f t="shared" si="9"/>
        <v>161455</v>
      </c>
      <c r="P73" s="13">
        <f>+P75+P76</f>
        <v>161266</v>
      </c>
      <c r="Q73" s="13">
        <f t="shared" si="9"/>
        <v>157587</v>
      </c>
      <c r="R73" s="13">
        <f>+R75+R76</f>
        <v>100448.242</v>
      </c>
    </row>
    <row r="74" spans="1:19">
      <c r="A74" s="1"/>
      <c r="B74" s="1"/>
      <c r="C74" s="1"/>
      <c r="D74" s="1"/>
      <c r="E74" s="1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spans="1:19">
      <c r="C75" s="2" t="s">
        <v>167</v>
      </c>
      <c r="F75" s="15">
        <v>100312</v>
      </c>
      <c r="G75" s="15">
        <v>100311</v>
      </c>
      <c r="H75" s="15">
        <v>91511</v>
      </c>
      <c r="I75" s="15">
        <v>91510</v>
      </c>
      <c r="J75" s="15">
        <v>138510</v>
      </c>
      <c r="K75" s="15">
        <v>163509</v>
      </c>
      <c r="L75" s="15">
        <v>161508</v>
      </c>
      <c r="M75" s="15">
        <v>161320</v>
      </c>
      <c r="N75" s="15">
        <v>161320</v>
      </c>
      <c r="O75" s="15">
        <v>161319</v>
      </c>
      <c r="P75" s="15">
        <v>161130</v>
      </c>
      <c r="Q75" s="15">
        <v>157451</v>
      </c>
      <c r="R75" s="15">
        <v>100312</v>
      </c>
    </row>
    <row r="76" spans="1:19">
      <c r="C76" s="2" t="s">
        <v>19</v>
      </c>
      <c r="F76" s="14">
        <f>+F77+F78</f>
        <v>136</v>
      </c>
      <c r="G76" s="14">
        <f t="shared" ref="G76:Q76" si="10">+G77+G78</f>
        <v>136</v>
      </c>
      <c r="H76" s="14">
        <f t="shared" si="10"/>
        <v>136</v>
      </c>
      <c r="I76" s="14">
        <f t="shared" si="10"/>
        <v>136</v>
      </c>
      <c r="J76" s="14">
        <f t="shared" si="10"/>
        <v>136</v>
      </c>
      <c r="K76" s="14">
        <f t="shared" si="10"/>
        <v>136</v>
      </c>
      <c r="L76" s="14">
        <f t="shared" si="10"/>
        <v>136</v>
      </c>
      <c r="M76" s="14">
        <f t="shared" si="10"/>
        <v>136</v>
      </c>
      <c r="N76" s="14">
        <f t="shared" si="10"/>
        <v>136</v>
      </c>
      <c r="O76" s="14">
        <f t="shared" si="10"/>
        <v>136</v>
      </c>
      <c r="P76" s="14">
        <f>+P77+P78</f>
        <v>136</v>
      </c>
      <c r="Q76" s="14">
        <f t="shared" si="10"/>
        <v>136</v>
      </c>
      <c r="R76" s="14">
        <f>+R77+R78</f>
        <v>136.24200000000002</v>
      </c>
    </row>
    <row r="77" spans="1:19">
      <c r="D77" s="2" t="s">
        <v>20</v>
      </c>
      <c r="F77" s="15">
        <v>37</v>
      </c>
      <c r="G77" s="15">
        <v>37</v>
      </c>
      <c r="H77" s="15">
        <v>37</v>
      </c>
      <c r="I77" s="15">
        <v>37</v>
      </c>
      <c r="J77" s="15">
        <v>37</v>
      </c>
      <c r="K77" s="15">
        <v>37</v>
      </c>
      <c r="L77" s="15">
        <v>37</v>
      </c>
      <c r="M77" s="15">
        <v>37</v>
      </c>
      <c r="N77" s="15">
        <v>37</v>
      </c>
      <c r="O77" s="15">
        <v>37</v>
      </c>
      <c r="P77" s="15">
        <v>37</v>
      </c>
      <c r="Q77" s="15">
        <v>37</v>
      </c>
      <c r="R77" s="15">
        <v>37</v>
      </c>
    </row>
    <row r="78" spans="1:19">
      <c r="D78" s="2" t="s">
        <v>15</v>
      </c>
      <c r="F78" s="15">
        <v>99</v>
      </c>
      <c r="G78" s="15">
        <v>99</v>
      </c>
      <c r="H78" s="15">
        <v>99</v>
      </c>
      <c r="I78" s="15">
        <v>99</v>
      </c>
      <c r="J78" s="15">
        <v>99</v>
      </c>
      <c r="K78" s="15">
        <v>99</v>
      </c>
      <c r="L78" s="15">
        <v>99</v>
      </c>
      <c r="M78" s="15">
        <v>99</v>
      </c>
      <c r="N78" s="15">
        <v>99</v>
      </c>
      <c r="O78" s="15">
        <v>99</v>
      </c>
      <c r="P78" s="15">
        <v>99</v>
      </c>
      <c r="Q78" s="15">
        <v>99</v>
      </c>
      <c r="R78" s="15">
        <v>99.242000000000004</v>
      </c>
    </row>
    <row r="79" spans="1:19"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9">
      <c r="A80" s="1"/>
      <c r="B80" s="1" t="s">
        <v>168</v>
      </c>
      <c r="C80" s="1"/>
      <c r="D80" s="1"/>
      <c r="E80" s="1"/>
      <c r="F80" s="13">
        <f>+F82+F83</f>
        <v>449298</v>
      </c>
      <c r="G80" s="13">
        <f t="shared" ref="G80:Q80" si="11">+G82+G83</f>
        <v>445470</v>
      </c>
      <c r="H80" s="13">
        <f t="shared" si="11"/>
        <v>433484</v>
      </c>
      <c r="I80" s="13">
        <f t="shared" si="11"/>
        <v>427045</v>
      </c>
      <c r="J80" s="13">
        <f t="shared" si="11"/>
        <v>430652</v>
      </c>
      <c r="K80" s="13">
        <f t="shared" si="11"/>
        <v>431297</v>
      </c>
      <c r="L80" s="13">
        <f t="shared" si="11"/>
        <v>424970</v>
      </c>
      <c r="M80" s="13">
        <f t="shared" si="11"/>
        <v>413294</v>
      </c>
      <c r="N80" s="13">
        <f t="shared" si="11"/>
        <v>421931</v>
      </c>
      <c r="O80" s="13">
        <f t="shared" si="11"/>
        <v>416375</v>
      </c>
      <c r="P80" s="13">
        <f>+P82+P83</f>
        <v>417432</v>
      </c>
      <c r="Q80" s="13">
        <f t="shared" si="11"/>
        <v>415785</v>
      </c>
      <c r="R80" s="13">
        <f>+R82+R83</f>
        <v>449360</v>
      </c>
    </row>
    <row r="81" spans="1:18">
      <c r="A81" s="1"/>
      <c r="B81" s="1"/>
      <c r="C81" s="1"/>
      <c r="D81" s="1"/>
      <c r="E81" s="1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1:18">
      <c r="C82" s="2" t="s">
        <v>167</v>
      </c>
      <c r="F82" s="15">
        <v>445511</v>
      </c>
      <c r="G82" s="15">
        <v>441716</v>
      </c>
      <c r="H82" s="15">
        <v>429751</v>
      </c>
      <c r="I82" s="15">
        <v>423357</v>
      </c>
      <c r="J82" s="15">
        <v>426932</v>
      </c>
      <c r="K82" s="15">
        <v>427559</v>
      </c>
      <c r="L82" s="15">
        <v>421348</v>
      </c>
      <c r="M82" s="15">
        <v>409646</v>
      </c>
      <c r="N82" s="15">
        <v>418192</v>
      </c>
      <c r="O82" s="15">
        <v>412703</v>
      </c>
      <c r="P82" s="15">
        <v>413680</v>
      </c>
      <c r="Q82" s="15">
        <v>412021</v>
      </c>
      <c r="R82" s="15">
        <v>445595</v>
      </c>
    </row>
    <row r="83" spans="1:18">
      <c r="C83" s="2" t="s">
        <v>19</v>
      </c>
      <c r="F83" s="14">
        <f>SUM(F84:F87)</f>
        <v>3787</v>
      </c>
      <c r="G83" s="14">
        <f t="shared" ref="G83:Q83" si="12">SUM(G84:G87)</f>
        <v>3754</v>
      </c>
      <c r="H83" s="14">
        <f t="shared" si="12"/>
        <v>3733</v>
      </c>
      <c r="I83" s="14">
        <f t="shared" si="12"/>
        <v>3688</v>
      </c>
      <c r="J83" s="14">
        <f t="shared" si="12"/>
        <v>3720</v>
      </c>
      <c r="K83" s="14">
        <f t="shared" si="12"/>
        <v>3738</v>
      </c>
      <c r="L83" s="14">
        <f t="shared" si="12"/>
        <v>3622</v>
      </c>
      <c r="M83" s="14">
        <f t="shared" si="12"/>
        <v>3648</v>
      </c>
      <c r="N83" s="14">
        <f t="shared" si="12"/>
        <v>3739</v>
      </c>
      <c r="O83" s="14">
        <f t="shared" si="12"/>
        <v>3672</v>
      </c>
      <c r="P83" s="14">
        <f>SUM(P84:P87)</f>
        <v>3752</v>
      </c>
      <c r="Q83" s="14">
        <f t="shared" si="12"/>
        <v>3764</v>
      </c>
      <c r="R83" s="14">
        <f>SUM(R84:R87)</f>
        <v>3765</v>
      </c>
    </row>
    <row r="84" spans="1:18">
      <c r="D84" s="2" t="s">
        <v>12</v>
      </c>
      <c r="F84" s="15">
        <v>3753</v>
      </c>
      <c r="G84" s="15">
        <v>3719</v>
      </c>
      <c r="H84" s="15">
        <v>3699</v>
      </c>
      <c r="I84" s="15">
        <v>3654</v>
      </c>
      <c r="J84" s="15">
        <v>3686</v>
      </c>
      <c r="K84" s="15">
        <v>3704</v>
      </c>
      <c r="L84" s="15">
        <v>3589</v>
      </c>
      <c r="M84" s="15">
        <v>3614</v>
      </c>
      <c r="N84" s="15">
        <v>3705</v>
      </c>
      <c r="O84" s="15">
        <v>3638</v>
      </c>
      <c r="P84" s="15">
        <v>3717</v>
      </c>
      <c r="Q84" s="15">
        <v>3729</v>
      </c>
      <c r="R84" s="15">
        <v>3730</v>
      </c>
    </row>
    <row r="85" spans="1:18" hidden="1">
      <c r="D85" s="2" t="s">
        <v>13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</row>
    <row r="86" spans="1:18">
      <c r="D86" s="2" t="s">
        <v>21</v>
      </c>
      <c r="F86" s="15">
        <v>34</v>
      </c>
      <c r="G86" s="15">
        <v>35</v>
      </c>
      <c r="H86" s="15">
        <v>34</v>
      </c>
      <c r="I86" s="15">
        <v>34</v>
      </c>
      <c r="J86" s="15">
        <v>34</v>
      </c>
      <c r="K86" s="15">
        <v>34</v>
      </c>
      <c r="L86" s="15">
        <v>33</v>
      </c>
      <c r="M86" s="15">
        <v>34</v>
      </c>
      <c r="N86" s="15">
        <v>34</v>
      </c>
      <c r="O86" s="15">
        <v>34</v>
      </c>
      <c r="P86" s="15">
        <v>35</v>
      </c>
      <c r="Q86" s="15">
        <v>35</v>
      </c>
      <c r="R86" s="15">
        <v>35</v>
      </c>
    </row>
    <row r="87" spans="1:18" hidden="1">
      <c r="D87" s="2" t="s">
        <v>15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</row>
    <row r="90" spans="1:18">
      <c r="A90" s="8"/>
      <c r="B90" s="9"/>
      <c r="C90" s="9"/>
      <c r="D90" s="9"/>
    </row>
    <row r="91" spans="1:18">
      <c r="A91" s="2" t="s">
        <v>11</v>
      </c>
    </row>
    <row r="111" spans="1:5">
      <c r="A111" s="3"/>
      <c r="B111" s="3"/>
      <c r="C111" s="3"/>
      <c r="D111" s="3"/>
      <c r="E111" s="3"/>
    </row>
    <row r="112" spans="1:5">
      <c r="A112" s="3"/>
      <c r="B112" s="3"/>
      <c r="C112" s="3"/>
      <c r="D112" s="3"/>
      <c r="E112" s="3"/>
    </row>
    <row r="113" spans="1:5">
      <c r="A113" s="3"/>
      <c r="B113" s="3"/>
      <c r="C113" s="3"/>
      <c r="D113" s="3"/>
      <c r="E113" s="3"/>
    </row>
    <row r="114" spans="1:5">
      <c r="A114" s="3"/>
      <c r="B114" s="3"/>
      <c r="C114" s="3"/>
      <c r="D114" s="3"/>
      <c r="E114" s="3"/>
    </row>
    <row r="115" spans="1:5">
      <c r="A115" s="3"/>
      <c r="B115" s="3"/>
      <c r="C115" s="3"/>
      <c r="D115" s="3"/>
      <c r="E115" s="3"/>
    </row>
    <row r="116" spans="1:5">
      <c r="A116" s="3"/>
      <c r="B116" s="3"/>
      <c r="C116" s="3"/>
      <c r="D116" s="3"/>
      <c r="E116" s="3"/>
    </row>
    <row r="117" spans="1:5">
      <c r="A117" s="3"/>
      <c r="B117" s="3"/>
      <c r="C117" s="3"/>
      <c r="D117" s="3"/>
      <c r="E117" s="3"/>
    </row>
    <row r="118" spans="1:5">
      <c r="A118" s="3"/>
      <c r="B118" s="3"/>
      <c r="C118" s="3"/>
      <c r="D118" s="3"/>
      <c r="E118" s="3"/>
    </row>
    <row r="119" spans="1:5">
      <c r="A119" s="3"/>
      <c r="B119" s="3"/>
      <c r="C119" s="3"/>
      <c r="D119" s="3"/>
      <c r="E119" s="3"/>
    </row>
    <row r="120" spans="1:5">
      <c r="A120" s="3"/>
      <c r="B120" s="3"/>
      <c r="C120" s="3"/>
      <c r="D120" s="3"/>
      <c r="E120" s="3"/>
    </row>
    <row r="121" spans="1:5">
      <c r="A121" s="3"/>
      <c r="B121" s="3"/>
      <c r="C121" s="3"/>
      <c r="D121" s="3"/>
      <c r="E121" s="3"/>
    </row>
    <row r="122" spans="1:5">
      <c r="A122" s="3"/>
      <c r="B122" s="3"/>
      <c r="C122" s="3"/>
      <c r="D122" s="3"/>
      <c r="E122" s="3"/>
    </row>
    <row r="123" spans="1:5">
      <c r="A123" s="3"/>
      <c r="B123" s="3"/>
      <c r="C123" s="3"/>
      <c r="D123" s="3"/>
      <c r="E123" s="3"/>
    </row>
    <row r="124" spans="1:5">
      <c r="A124" s="3"/>
      <c r="B124" s="3"/>
      <c r="C124" s="3"/>
      <c r="D124" s="3"/>
      <c r="E124" s="3"/>
    </row>
    <row r="125" spans="1:5">
      <c r="A125" s="3"/>
      <c r="B125" s="3"/>
      <c r="C125" s="3"/>
      <c r="D125" s="3"/>
      <c r="E125" s="3"/>
    </row>
    <row r="126" spans="1:5">
      <c r="A126" s="3"/>
      <c r="B126" s="3"/>
      <c r="C126" s="3"/>
      <c r="D126" s="3"/>
      <c r="E126" s="3"/>
    </row>
    <row r="127" spans="1:5">
      <c r="A127" s="3"/>
      <c r="B127" s="3"/>
      <c r="C127" s="3"/>
      <c r="D127" s="3"/>
      <c r="E127" s="3"/>
    </row>
    <row r="128" spans="1:5">
      <c r="A128" s="3"/>
      <c r="B128" s="3"/>
      <c r="C128" s="3"/>
      <c r="D128" s="3"/>
      <c r="E128" s="3"/>
    </row>
    <row r="129" spans="1:5">
      <c r="A129" s="3"/>
      <c r="B129" s="3"/>
      <c r="C129" s="3"/>
      <c r="D129" s="3"/>
      <c r="E129" s="3"/>
    </row>
    <row r="130" spans="1:5">
      <c r="A130" s="3"/>
      <c r="B130" s="3"/>
      <c r="C130" s="3"/>
      <c r="D130" s="3"/>
      <c r="E130" s="3"/>
    </row>
  </sheetData>
  <mergeCells count="4">
    <mergeCell ref="A69:E69"/>
    <mergeCell ref="A2:R2"/>
    <mergeCell ref="A3:R3"/>
    <mergeCell ref="A6:E6"/>
  </mergeCells>
  <printOptions horizontalCentered="1"/>
  <pageMargins left="0.23622047244094491" right="0" top="0.98425196850393704" bottom="0.23622047244094491" header="0.51181102362204722" footer="0.51181102362204722"/>
  <pageSetup paperSize="9" scale="9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>
    <pageSetUpPr fitToPage="1"/>
  </sheetPr>
  <dimension ref="A1:Q49"/>
  <sheetViews>
    <sheetView zoomScaleNormal="100" workbookViewId="0">
      <pane xSplit="5" ySplit="5" topLeftCell="F6" activePane="bottomRight" state="frozen"/>
      <selection pane="topRight" activeCell="F1" sqref="F1"/>
      <selection pane="bottomLeft" activeCell="A8" sqref="A8"/>
      <selection pane="bottomRight" activeCell="F39" sqref="F39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11.28515625" style="2" customWidth="1"/>
    <col min="6" max="17" width="9.85546875" style="2" customWidth="1"/>
    <col min="18" max="16384" width="9.140625" style="2"/>
  </cols>
  <sheetData>
    <row r="1" spans="1:17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>
      <c r="A2" s="19" t="s">
        <v>57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2" customHeight="1">
      <c r="A4" s="4"/>
    </row>
    <row r="5" spans="1:17" ht="18.75" customHeight="1">
      <c r="A5" s="177" t="s">
        <v>1</v>
      </c>
      <c r="B5" s="178"/>
      <c r="C5" s="178"/>
      <c r="D5" s="178"/>
      <c r="E5" s="178"/>
      <c r="F5" s="18" t="s">
        <v>5</v>
      </c>
      <c r="G5" s="18" t="s">
        <v>23</v>
      </c>
      <c r="H5" s="18" t="s">
        <v>24</v>
      </c>
      <c r="I5" s="18" t="s">
        <v>26</v>
      </c>
      <c r="J5" s="18" t="s">
        <v>27</v>
      </c>
      <c r="K5" s="18" t="s">
        <v>34</v>
      </c>
      <c r="L5" s="18" t="s">
        <v>28</v>
      </c>
      <c r="M5" s="18" t="s">
        <v>29</v>
      </c>
      <c r="N5" s="18" t="s">
        <v>30</v>
      </c>
      <c r="O5" s="18" t="s">
        <v>31</v>
      </c>
      <c r="P5" s="18" t="s">
        <v>32</v>
      </c>
      <c r="Q5" s="39" t="s">
        <v>33</v>
      </c>
    </row>
    <row r="6" spans="1:17" ht="9" customHeight="1">
      <c r="A6" s="46"/>
      <c r="B6" s="46"/>
      <c r="C6" s="46"/>
      <c r="D6" s="46"/>
      <c r="E6" s="46"/>
      <c r="F6" s="47"/>
    </row>
    <row r="7" spans="1:17" ht="14.25" customHeight="1">
      <c r="A7" s="1" t="s">
        <v>6</v>
      </c>
      <c r="B7" s="1"/>
      <c r="C7" s="1"/>
      <c r="D7" s="1"/>
      <c r="E7" s="1"/>
      <c r="F7" s="13">
        <v>2430269</v>
      </c>
      <c r="G7" s="13">
        <v>2403410</v>
      </c>
      <c r="H7" s="13">
        <v>2536667</v>
      </c>
      <c r="I7" s="13">
        <v>2548143</v>
      </c>
      <c r="J7" s="13">
        <v>2583717</v>
      </c>
      <c r="K7" s="13">
        <v>2595814</v>
      </c>
      <c r="L7" s="13">
        <v>2627229</v>
      </c>
      <c r="M7" s="13">
        <v>2730065</v>
      </c>
      <c r="N7" s="13">
        <v>2698487</v>
      </c>
      <c r="O7" s="13">
        <v>2697401</v>
      </c>
      <c r="P7" s="13">
        <v>2717496</v>
      </c>
      <c r="Q7" s="13">
        <v>2718202</v>
      </c>
    </row>
    <row r="8" spans="1:17">
      <c r="A8" s="1"/>
      <c r="B8" s="1" t="s">
        <v>37</v>
      </c>
      <c r="C8" s="1"/>
      <c r="D8" s="1"/>
      <c r="E8" s="1"/>
      <c r="F8" s="13">
        <v>9115</v>
      </c>
      <c r="G8" s="13">
        <v>9114</v>
      </c>
      <c r="H8" s="13">
        <v>9113</v>
      </c>
      <c r="I8" s="13">
        <v>9113</v>
      </c>
      <c r="J8" s="13">
        <v>9114</v>
      </c>
      <c r="K8" s="13">
        <v>9102</v>
      </c>
      <c r="L8" s="13">
        <v>9102</v>
      </c>
      <c r="M8" s="13">
        <v>9101</v>
      </c>
      <c r="N8" s="13">
        <v>9100</v>
      </c>
      <c r="O8" s="13">
        <v>9100</v>
      </c>
      <c r="P8" s="13">
        <v>9101</v>
      </c>
      <c r="Q8" s="13">
        <v>9101</v>
      </c>
    </row>
    <row r="9" spans="1:17">
      <c r="C9" s="2" t="s">
        <v>10</v>
      </c>
      <c r="F9" s="14">
        <v>6821</v>
      </c>
      <c r="G9" s="14">
        <v>6820</v>
      </c>
      <c r="H9" s="14">
        <v>6819</v>
      </c>
      <c r="I9" s="14">
        <v>6819</v>
      </c>
      <c r="J9" s="14">
        <v>6820</v>
      </c>
      <c r="K9" s="14">
        <v>6808</v>
      </c>
      <c r="L9" s="14">
        <v>6808</v>
      </c>
      <c r="M9" s="14">
        <v>6807</v>
      </c>
      <c r="N9" s="14">
        <v>6806</v>
      </c>
      <c r="O9" s="14">
        <v>6806</v>
      </c>
      <c r="P9" s="14">
        <v>6807</v>
      </c>
      <c r="Q9" s="14">
        <v>6807</v>
      </c>
    </row>
    <row r="10" spans="1:17">
      <c r="D10" s="2" t="s">
        <v>2</v>
      </c>
      <c r="F10" s="15">
        <v>6821</v>
      </c>
      <c r="G10" s="15">
        <v>6820</v>
      </c>
      <c r="H10" s="15">
        <v>6819</v>
      </c>
      <c r="I10" s="15">
        <v>6819</v>
      </c>
      <c r="J10" s="15">
        <v>6820</v>
      </c>
      <c r="K10" s="15">
        <v>6808</v>
      </c>
      <c r="L10" s="15">
        <v>6808</v>
      </c>
      <c r="M10" s="15">
        <v>6807</v>
      </c>
      <c r="N10" s="15">
        <v>6806</v>
      </c>
      <c r="O10" s="15">
        <v>6806</v>
      </c>
      <c r="P10" s="15">
        <v>6807</v>
      </c>
      <c r="Q10" s="15">
        <v>6807</v>
      </c>
    </row>
    <row r="11" spans="1:17">
      <c r="D11" s="2" t="s">
        <v>3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</row>
    <row r="12" spans="1:17">
      <c r="C12" s="2" t="s">
        <v>4</v>
      </c>
      <c r="F12" s="14">
        <v>2294</v>
      </c>
      <c r="G12" s="14">
        <v>2294</v>
      </c>
      <c r="H12" s="14">
        <v>2294</v>
      </c>
      <c r="I12" s="14">
        <v>2294</v>
      </c>
      <c r="J12" s="14">
        <v>2294</v>
      </c>
      <c r="K12" s="14">
        <v>2294</v>
      </c>
      <c r="L12" s="14">
        <v>2294</v>
      </c>
      <c r="M12" s="14">
        <v>2294</v>
      </c>
      <c r="N12" s="14">
        <v>2294</v>
      </c>
      <c r="O12" s="14">
        <v>2294</v>
      </c>
      <c r="P12" s="14">
        <v>2294</v>
      </c>
      <c r="Q12" s="14">
        <v>2294</v>
      </c>
    </row>
    <row r="13" spans="1:17" hidden="1">
      <c r="D13" s="2" t="s">
        <v>12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</row>
    <row r="14" spans="1:17">
      <c r="D14" s="2" t="s">
        <v>13</v>
      </c>
      <c r="F14" s="15">
        <v>2288</v>
      </c>
      <c r="G14" s="15">
        <v>2288</v>
      </c>
      <c r="H14" s="15">
        <v>2288</v>
      </c>
      <c r="I14" s="15">
        <v>2288</v>
      </c>
      <c r="J14" s="15">
        <v>2288</v>
      </c>
      <c r="K14" s="15">
        <v>2288</v>
      </c>
      <c r="L14" s="15">
        <v>2288</v>
      </c>
      <c r="M14" s="15">
        <v>2288</v>
      </c>
      <c r="N14" s="15">
        <v>2288</v>
      </c>
      <c r="O14" s="15">
        <v>2288</v>
      </c>
      <c r="P14" s="15">
        <v>2288</v>
      </c>
      <c r="Q14" s="15">
        <v>2288</v>
      </c>
    </row>
    <row r="15" spans="1:17" hidden="1">
      <c r="D15" s="2" t="s">
        <v>14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</row>
    <row r="16" spans="1:17">
      <c r="D16" s="2" t="s">
        <v>15</v>
      </c>
      <c r="F16" s="15">
        <v>6</v>
      </c>
      <c r="G16" s="15">
        <v>6</v>
      </c>
      <c r="H16" s="15">
        <v>6</v>
      </c>
      <c r="I16" s="15">
        <v>6</v>
      </c>
      <c r="J16" s="15">
        <v>6</v>
      </c>
      <c r="K16" s="15">
        <v>6</v>
      </c>
      <c r="L16" s="15">
        <v>6</v>
      </c>
      <c r="M16" s="15">
        <v>6</v>
      </c>
      <c r="N16" s="15">
        <v>6</v>
      </c>
      <c r="O16" s="15">
        <v>6</v>
      </c>
      <c r="P16" s="15">
        <v>6</v>
      </c>
      <c r="Q16" s="15">
        <v>6</v>
      </c>
    </row>
    <row r="17" spans="1:17"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ht="15" customHeight="1">
      <c r="B18" s="1" t="s">
        <v>38</v>
      </c>
      <c r="F18" s="15">
        <v>2421154</v>
      </c>
      <c r="G18" s="15">
        <v>2394296</v>
      </c>
      <c r="H18" s="15">
        <v>2527554</v>
      </c>
      <c r="I18" s="15">
        <v>2539030</v>
      </c>
      <c r="J18" s="15">
        <v>2574603</v>
      </c>
      <c r="K18" s="15">
        <v>2586712</v>
      </c>
      <c r="L18" s="15">
        <v>2618127</v>
      </c>
      <c r="M18" s="15">
        <v>2720964</v>
      </c>
      <c r="N18" s="15">
        <v>2689387</v>
      </c>
      <c r="O18" s="15">
        <v>2688301</v>
      </c>
      <c r="P18" s="15">
        <v>2708395</v>
      </c>
      <c r="Q18" s="15">
        <v>2709101</v>
      </c>
    </row>
    <row r="19" spans="1:17"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5" customHeight="1">
      <c r="A20" s="1" t="s">
        <v>41</v>
      </c>
      <c r="B20" s="1"/>
      <c r="C20" s="1"/>
      <c r="D20" s="1"/>
      <c r="E20" s="1"/>
      <c r="F20" s="13">
        <v>2013171</v>
      </c>
      <c r="G20" s="13">
        <v>1954195</v>
      </c>
      <c r="H20" s="13">
        <v>1921416</v>
      </c>
      <c r="I20" s="13">
        <v>1888337</v>
      </c>
      <c r="J20" s="13">
        <v>1970468</v>
      </c>
      <c r="K20" s="13">
        <v>1986611</v>
      </c>
      <c r="L20" s="13">
        <v>1978094</v>
      </c>
      <c r="M20" s="13">
        <v>1961584</v>
      </c>
      <c r="N20" s="13">
        <v>1965702</v>
      </c>
      <c r="O20" s="13">
        <v>1982106</v>
      </c>
      <c r="P20" s="13">
        <v>2001517</v>
      </c>
      <c r="Q20" s="13">
        <v>1999969</v>
      </c>
    </row>
    <row r="21" spans="1:17">
      <c r="A21" s="1"/>
      <c r="B21" s="1" t="s">
        <v>37</v>
      </c>
      <c r="C21" s="1"/>
      <c r="D21" s="1"/>
      <c r="E21" s="1"/>
      <c r="F21" s="13">
        <v>839163</v>
      </c>
      <c r="G21" s="13">
        <v>830523</v>
      </c>
      <c r="H21" s="13">
        <v>799953</v>
      </c>
      <c r="I21" s="13">
        <v>784326</v>
      </c>
      <c r="J21" s="13">
        <v>827792</v>
      </c>
      <c r="K21" s="13">
        <v>837694</v>
      </c>
      <c r="L21" s="13">
        <v>841303</v>
      </c>
      <c r="M21" s="13">
        <v>837139</v>
      </c>
      <c r="N21" s="13">
        <v>826569</v>
      </c>
      <c r="O21" s="13">
        <v>827975</v>
      </c>
      <c r="P21" s="13">
        <v>823989</v>
      </c>
      <c r="Q21" s="13">
        <v>828715</v>
      </c>
    </row>
    <row r="22" spans="1:17" ht="15.75" customHeight="1">
      <c r="C22" s="2" t="s">
        <v>10</v>
      </c>
      <c r="F22" s="14">
        <v>839125</v>
      </c>
      <c r="G22" s="14">
        <v>830486</v>
      </c>
      <c r="H22" s="14">
        <v>799917</v>
      </c>
      <c r="I22" s="14">
        <v>784290</v>
      </c>
      <c r="J22" s="14">
        <v>827756</v>
      </c>
      <c r="K22" s="14">
        <v>837658</v>
      </c>
      <c r="L22" s="14">
        <v>841273</v>
      </c>
      <c r="M22" s="14">
        <v>837110</v>
      </c>
      <c r="N22" s="14">
        <v>826539</v>
      </c>
      <c r="O22" s="14">
        <v>827946</v>
      </c>
      <c r="P22" s="14">
        <v>823959</v>
      </c>
      <c r="Q22" s="14">
        <v>828689</v>
      </c>
    </row>
    <row r="23" spans="1:17">
      <c r="D23" s="2" t="s">
        <v>2</v>
      </c>
      <c r="F23" s="15">
        <v>770803</v>
      </c>
      <c r="G23" s="15">
        <v>762610</v>
      </c>
      <c r="H23" s="15">
        <v>736224</v>
      </c>
      <c r="I23" s="15">
        <v>722517</v>
      </c>
      <c r="J23" s="15">
        <v>762388</v>
      </c>
      <c r="K23" s="15">
        <v>769691</v>
      </c>
      <c r="L23" s="15">
        <v>772838</v>
      </c>
      <c r="M23" s="15">
        <v>768436</v>
      </c>
      <c r="N23" s="15">
        <v>759595</v>
      </c>
      <c r="O23" s="15">
        <v>760701</v>
      </c>
      <c r="P23" s="15">
        <v>757464</v>
      </c>
      <c r="Q23" s="15">
        <v>761711</v>
      </c>
    </row>
    <row r="24" spans="1:17">
      <c r="D24" s="2" t="s">
        <v>3</v>
      </c>
      <c r="F24" s="15">
        <v>68322</v>
      </c>
      <c r="G24" s="15">
        <v>67876</v>
      </c>
      <c r="H24" s="15">
        <v>63693</v>
      </c>
      <c r="I24" s="15">
        <v>61773</v>
      </c>
      <c r="J24" s="15">
        <v>65368</v>
      </c>
      <c r="K24" s="15">
        <v>67967</v>
      </c>
      <c r="L24" s="15">
        <v>68435</v>
      </c>
      <c r="M24" s="15">
        <v>68674</v>
      </c>
      <c r="N24" s="15">
        <v>66944</v>
      </c>
      <c r="O24" s="15">
        <v>67245</v>
      </c>
      <c r="P24" s="15">
        <v>66495</v>
      </c>
      <c r="Q24" s="15">
        <v>66978</v>
      </c>
    </row>
    <row r="25" spans="1:17">
      <c r="C25" s="2" t="s">
        <v>4</v>
      </c>
      <c r="F25" s="14">
        <v>38</v>
      </c>
      <c r="G25" s="14">
        <v>37</v>
      </c>
      <c r="H25" s="14">
        <v>36</v>
      </c>
      <c r="I25" s="14">
        <v>36</v>
      </c>
      <c r="J25" s="14">
        <v>36</v>
      </c>
      <c r="K25" s="14">
        <v>36</v>
      </c>
      <c r="L25" s="14">
        <v>30</v>
      </c>
      <c r="M25" s="14">
        <v>29</v>
      </c>
      <c r="N25" s="14">
        <v>30</v>
      </c>
      <c r="O25" s="14">
        <v>29</v>
      </c>
      <c r="P25" s="14">
        <v>30</v>
      </c>
      <c r="Q25" s="14">
        <v>26</v>
      </c>
    </row>
    <row r="26" spans="1:17" hidden="1">
      <c r="D26" s="2" t="s">
        <v>12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</row>
    <row r="27" spans="1:17">
      <c r="D27" s="2" t="s">
        <v>13</v>
      </c>
      <c r="F27" s="15">
        <v>8</v>
      </c>
      <c r="G27" s="15">
        <v>8</v>
      </c>
      <c r="H27" s="15">
        <v>8</v>
      </c>
      <c r="I27" s="15">
        <v>8</v>
      </c>
      <c r="J27" s="15">
        <v>8</v>
      </c>
      <c r="K27" s="15">
        <v>8</v>
      </c>
      <c r="L27" s="15">
        <v>6</v>
      </c>
      <c r="M27" s="15">
        <v>6</v>
      </c>
      <c r="N27" s="15">
        <v>6</v>
      </c>
      <c r="O27" s="15">
        <v>5</v>
      </c>
      <c r="P27" s="15">
        <v>6</v>
      </c>
      <c r="Q27" s="15">
        <v>6</v>
      </c>
    </row>
    <row r="28" spans="1:17" hidden="1">
      <c r="D28" s="2" t="s">
        <v>14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</row>
    <row r="29" spans="1:17">
      <c r="D29" s="2" t="s">
        <v>15</v>
      </c>
      <c r="F29" s="15">
        <v>30</v>
      </c>
      <c r="G29" s="15">
        <v>29</v>
      </c>
      <c r="H29" s="15">
        <v>28</v>
      </c>
      <c r="I29" s="15">
        <v>28</v>
      </c>
      <c r="J29" s="15">
        <v>28</v>
      </c>
      <c r="K29" s="15">
        <v>28</v>
      </c>
      <c r="L29" s="15">
        <v>24</v>
      </c>
      <c r="M29" s="15">
        <v>23</v>
      </c>
      <c r="N29" s="15">
        <v>24</v>
      </c>
      <c r="O29" s="15">
        <v>24</v>
      </c>
      <c r="P29" s="15">
        <v>24</v>
      </c>
      <c r="Q29" s="15">
        <v>20</v>
      </c>
    </row>
    <row r="30" spans="1:17" hidden="1">
      <c r="D30" s="2" t="s">
        <v>16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</row>
    <row r="31" spans="1:17" ht="11.25" customHeight="1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>
      <c r="B32" s="1" t="s">
        <v>38</v>
      </c>
      <c r="F32" s="15">
        <v>1174008</v>
      </c>
      <c r="G32" s="15">
        <v>1123672</v>
      </c>
      <c r="H32" s="15">
        <v>1121463</v>
      </c>
      <c r="I32" s="15">
        <v>1104011</v>
      </c>
      <c r="J32" s="15">
        <v>1142676</v>
      </c>
      <c r="K32" s="15">
        <v>1148917</v>
      </c>
      <c r="L32" s="15">
        <v>1136791</v>
      </c>
      <c r="M32" s="15">
        <v>1124445</v>
      </c>
      <c r="N32" s="15">
        <v>1139133</v>
      </c>
      <c r="O32" s="15">
        <v>1154131</v>
      </c>
      <c r="P32" s="15">
        <v>1177528</v>
      </c>
      <c r="Q32" s="15">
        <v>1171254</v>
      </c>
    </row>
    <row r="34" spans="1:17">
      <c r="C34" s="1" t="s">
        <v>7</v>
      </c>
      <c r="D34" s="1"/>
      <c r="E34" s="1"/>
      <c r="F34" s="41">
        <v>4443440</v>
      </c>
      <c r="G34" s="41">
        <v>4357605</v>
      </c>
      <c r="H34" s="41">
        <v>4458083</v>
      </c>
      <c r="I34" s="41">
        <v>4436480</v>
      </c>
      <c r="J34" s="41">
        <v>4554185</v>
      </c>
      <c r="K34" s="41">
        <v>4582425</v>
      </c>
      <c r="L34" s="41">
        <v>4605323</v>
      </c>
      <c r="M34" s="41">
        <v>4691649</v>
      </c>
      <c r="N34" s="41">
        <v>4664189</v>
      </c>
      <c r="O34" s="41">
        <v>4679507</v>
      </c>
      <c r="P34" s="41">
        <v>4719013</v>
      </c>
      <c r="Q34" s="41">
        <v>4718171</v>
      </c>
    </row>
    <row r="35" spans="1:17">
      <c r="A35" s="8"/>
      <c r="B35" s="9"/>
      <c r="C35" s="9"/>
      <c r="D35" s="9"/>
    </row>
    <row r="36" spans="1:17">
      <c r="A36" s="2" t="s">
        <v>11</v>
      </c>
    </row>
    <row r="37" spans="1:17">
      <c r="A37" s="1"/>
    </row>
    <row r="38" spans="1:17" s="11" customFormat="1">
      <c r="A38" s="10" t="s">
        <v>8</v>
      </c>
      <c r="B38" s="10"/>
      <c r="C38" s="10"/>
      <c r="D38" s="10"/>
      <c r="E38" s="10"/>
      <c r="F38" s="71">
        <v>46.6</v>
      </c>
      <c r="G38" s="71">
        <v>46.3</v>
      </c>
      <c r="H38" s="71">
        <v>45.3</v>
      </c>
      <c r="I38" s="71">
        <v>44.65</v>
      </c>
      <c r="J38" s="71">
        <v>46.2</v>
      </c>
      <c r="K38" s="71">
        <v>46.4</v>
      </c>
      <c r="L38" s="71">
        <v>45.75</v>
      </c>
      <c r="M38" s="71">
        <v>45.2</v>
      </c>
      <c r="N38" s="71">
        <v>43.9</v>
      </c>
      <c r="O38" s="71">
        <v>43.1</v>
      </c>
      <c r="P38" s="71">
        <v>44.2</v>
      </c>
      <c r="Q38" s="71">
        <v>43.85</v>
      </c>
    </row>
    <row r="39" spans="1:17" s="11" customFormat="1">
      <c r="A39" s="10"/>
      <c r="B39" s="10"/>
      <c r="C39" s="10"/>
      <c r="D39" s="10"/>
      <c r="E39" s="10"/>
    </row>
    <row r="40" spans="1:17" s="11" customFormat="1">
      <c r="A40" s="10"/>
      <c r="B40" s="10"/>
      <c r="C40" s="10"/>
      <c r="D40" s="10"/>
      <c r="E40" s="10"/>
    </row>
    <row r="41" spans="1:17">
      <c r="A41" s="11" t="s">
        <v>22</v>
      </c>
    </row>
    <row r="42" spans="1:17">
      <c r="A42" s="11"/>
    </row>
    <row r="43" spans="1:17">
      <c r="A43" s="48"/>
      <c r="E43" s="11"/>
    </row>
    <row r="44" spans="1:17">
      <c r="A44" s="12"/>
      <c r="E44" s="11"/>
    </row>
    <row r="45" spans="1:17">
      <c r="A45" s="12"/>
      <c r="E45" s="11"/>
    </row>
    <row r="46" spans="1:17">
      <c r="A46" s="12"/>
      <c r="E46" s="11"/>
    </row>
    <row r="47" spans="1:17">
      <c r="A47" s="12"/>
      <c r="E47" s="11"/>
    </row>
    <row r="48" spans="1:17">
      <c r="A48" s="12"/>
      <c r="E48" s="11"/>
    </row>
    <row r="49" spans="1:1">
      <c r="A49" s="2" t="s">
        <v>11</v>
      </c>
    </row>
  </sheetData>
  <mergeCells count="1">
    <mergeCell ref="A5:E5"/>
  </mergeCells>
  <printOptions horizontalCentered="1"/>
  <pageMargins left="0.23622047244094491" right="0" top="0.98425196850393704" bottom="0.23622047244094491" header="0.51181102362204722" footer="0.51181102362204722"/>
  <pageSetup paperSize="9" scale="76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9545-3027-4CC0-AAA7-E9C8744C5C53}">
  <sheetPr>
    <pageSetUpPr fitToPage="1"/>
  </sheetPr>
  <dimension ref="A1:Q66"/>
  <sheetViews>
    <sheetView workbookViewId="0">
      <pane xSplit="5" ySplit="1" topLeftCell="F2" activePane="bottomRight" state="frozen"/>
      <selection pane="topRight" activeCell="F1" sqref="F1"/>
      <selection pane="bottomLeft" activeCell="A8" sqref="A8"/>
      <selection pane="bottomRight" activeCell="F15" sqref="F15"/>
    </sheetView>
  </sheetViews>
  <sheetFormatPr defaultRowHeight="16.5"/>
  <cols>
    <col min="1" max="2" width="1.85546875" style="2" customWidth="1"/>
    <col min="3" max="3" width="2.28515625" style="2" customWidth="1"/>
    <col min="4" max="4" width="1.7109375" style="2" customWidth="1"/>
    <col min="5" max="5" width="9.140625" style="2" customWidth="1"/>
    <col min="6" max="6" width="11" style="2" customWidth="1"/>
    <col min="7" max="12" width="8.42578125" style="2" customWidth="1"/>
    <col min="13" max="13" width="8.7109375" style="2" customWidth="1"/>
    <col min="14" max="14" width="8.42578125" style="2" customWidth="1"/>
    <col min="15" max="15" width="7.140625" style="2" customWidth="1"/>
    <col min="16" max="17" width="8.140625" style="2" customWidth="1"/>
    <col min="18" max="16384" width="9.140625" style="2"/>
  </cols>
  <sheetData>
    <row r="1" spans="1:17">
      <c r="A1" s="136" t="s">
        <v>52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>
      <c r="A2" s="136" t="s">
        <v>57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</row>
    <row r="3" spans="1:17">
      <c r="A3" s="137" t="s">
        <v>0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</row>
    <row r="4" spans="1:17" ht="15" customHeight="1">
      <c r="A4" s="138"/>
      <c r="B4" s="138"/>
      <c r="C4" s="138"/>
      <c r="D4" s="138"/>
      <c r="E4" s="138"/>
      <c r="F4" s="138"/>
    </row>
    <row r="5" spans="1:17" ht="18" customHeight="1">
      <c r="A5" s="177" t="s">
        <v>1</v>
      </c>
      <c r="B5" s="178"/>
      <c r="C5" s="178"/>
      <c r="D5" s="178"/>
      <c r="E5" s="178"/>
      <c r="F5" s="18" t="s">
        <v>5</v>
      </c>
      <c r="G5" s="18" t="s">
        <v>23</v>
      </c>
      <c r="H5" s="18" t="s">
        <v>24</v>
      </c>
      <c r="I5" s="18" t="s">
        <v>26</v>
      </c>
      <c r="J5" s="18" t="s">
        <v>27</v>
      </c>
      <c r="K5" s="18" t="s">
        <v>34</v>
      </c>
      <c r="L5" s="18" t="s">
        <v>28</v>
      </c>
      <c r="M5" s="18" t="s">
        <v>29</v>
      </c>
      <c r="N5" s="18" t="s">
        <v>30</v>
      </c>
      <c r="O5" s="18" t="s">
        <v>31</v>
      </c>
      <c r="P5" s="18" t="s">
        <v>32</v>
      </c>
      <c r="Q5" s="39" t="s">
        <v>33</v>
      </c>
    </row>
    <row r="6" spans="1:17" ht="10.5" customHeight="1"/>
    <row r="7" spans="1:17">
      <c r="A7" s="1" t="s">
        <v>17</v>
      </c>
      <c r="B7" s="1"/>
      <c r="C7" s="1"/>
      <c r="D7" s="1"/>
      <c r="E7" s="1"/>
      <c r="F7" s="13">
        <f>+F9+F16</f>
        <v>619741.24199999997</v>
      </c>
      <c r="G7" s="13">
        <f t="shared" ref="G7:L7" si="0">+G9+G16</f>
        <v>617342.24199999997</v>
      </c>
      <c r="H7" s="13">
        <f t="shared" si="0"/>
        <v>585715.24199999997</v>
      </c>
      <c r="I7" s="13">
        <f t="shared" si="0"/>
        <v>603829.24199999997</v>
      </c>
      <c r="J7" s="13">
        <f t="shared" si="0"/>
        <v>616435.24199999997</v>
      </c>
      <c r="K7" s="13">
        <f>+K9+K16</f>
        <v>609444.24199999997</v>
      </c>
      <c r="L7" s="13">
        <f t="shared" si="0"/>
        <v>575951.24199999997</v>
      </c>
      <c r="M7" s="13">
        <f>+M9+M16</f>
        <v>575546.24199999997</v>
      </c>
      <c r="N7" s="13">
        <f>+N9+N16</f>
        <v>560663.24199999997</v>
      </c>
      <c r="O7" s="13">
        <f>+O9+O16</f>
        <v>559209.24199999997</v>
      </c>
      <c r="P7" s="13">
        <f>+P9+P16</f>
        <v>560023.24199999997</v>
      </c>
      <c r="Q7" s="13">
        <f>+Q9+Q16</f>
        <v>549808.24199999997</v>
      </c>
    </row>
    <row r="8" spans="1:17">
      <c r="A8" s="1"/>
      <c r="B8" s="1"/>
      <c r="C8" s="1"/>
      <c r="D8" s="1"/>
      <c r="E8" s="1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1"/>
      <c r="B9" s="1" t="s">
        <v>18</v>
      </c>
      <c r="C9" s="1"/>
      <c r="D9" s="1"/>
      <c r="E9" s="1"/>
      <c r="F9" s="13">
        <f>+F11+F12</f>
        <v>79518.241999999998</v>
      </c>
      <c r="G9" s="13">
        <f t="shared" ref="G9:L9" si="1">+G11+G12</f>
        <v>79518.241999999998</v>
      </c>
      <c r="H9" s="13">
        <f t="shared" si="1"/>
        <v>91517.241999999998</v>
      </c>
      <c r="I9" s="13">
        <f t="shared" si="1"/>
        <v>121516.242</v>
      </c>
      <c r="J9" s="13">
        <f t="shared" si="1"/>
        <v>112454.242</v>
      </c>
      <c r="K9" s="13">
        <f>+K11+K12</f>
        <v>112454.242</v>
      </c>
      <c r="L9" s="13">
        <f t="shared" si="1"/>
        <v>112453.242</v>
      </c>
      <c r="M9" s="13">
        <f>+M11+M12</f>
        <v>112453.242</v>
      </c>
      <c r="N9" s="13">
        <f>+N11+N12</f>
        <v>112453.242</v>
      </c>
      <c r="O9" s="13">
        <f>+O11+O12</f>
        <v>112453.242</v>
      </c>
      <c r="P9" s="13">
        <f>+P11+P12</f>
        <v>112449.242</v>
      </c>
      <c r="Q9" s="13">
        <f>+Q11+Q12</f>
        <v>100448.242</v>
      </c>
    </row>
    <row r="10" spans="1:17">
      <c r="A10" s="1"/>
      <c r="B10" s="1"/>
      <c r="C10" s="1"/>
      <c r="D10" s="1"/>
      <c r="E10" s="1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C11" s="2" t="s">
        <v>167</v>
      </c>
      <c r="F11" s="15">
        <v>79382</v>
      </c>
      <c r="G11" s="15">
        <v>79382</v>
      </c>
      <c r="H11" s="15">
        <v>91381</v>
      </c>
      <c r="I11" s="15">
        <v>121380</v>
      </c>
      <c r="J11" s="15">
        <v>112318</v>
      </c>
      <c r="K11" s="15">
        <v>112318</v>
      </c>
      <c r="L11" s="15">
        <v>112317</v>
      </c>
      <c r="M11" s="15">
        <v>112317</v>
      </c>
      <c r="N11" s="15">
        <v>112317</v>
      </c>
      <c r="O11" s="15">
        <v>112317</v>
      </c>
      <c r="P11" s="15">
        <v>112313</v>
      </c>
      <c r="Q11" s="15">
        <v>100312</v>
      </c>
    </row>
    <row r="12" spans="1:17">
      <c r="C12" s="2" t="s">
        <v>19</v>
      </c>
      <c r="F12" s="14">
        <f t="shared" ref="F12:L12" si="2">+F13+F14</f>
        <v>136.24200000000002</v>
      </c>
      <c r="G12" s="14">
        <f t="shared" si="2"/>
        <v>136.24200000000002</v>
      </c>
      <c r="H12" s="14">
        <f t="shared" si="2"/>
        <v>136.24200000000002</v>
      </c>
      <c r="I12" s="14">
        <f t="shared" si="2"/>
        <v>136.24200000000002</v>
      </c>
      <c r="J12" s="14">
        <f t="shared" si="2"/>
        <v>136.24200000000002</v>
      </c>
      <c r="K12" s="14">
        <f t="shared" si="2"/>
        <v>136.24200000000002</v>
      </c>
      <c r="L12" s="14">
        <f t="shared" si="2"/>
        <v>136.24200000000002</v>
      </c>
      <c r="M12" s="14">
        <f>+M13+M14</f>
        <v>136.24200000000002</v>
      </c>
      <c r="N12" s="14">
        <f>+N13+N14</f>
        <v>136.24200000000002</v>
      </c>
      <c r="O12" s="14">
        <f>+O13+O14</f>
        <v>136.24200000000002</v>
      </c>
      <c r="P12" s="14">
        <f>+P13+P14</f>
        <v>136.24200000000002</v>
      </c>
      <c r="Q12" s="14">
        <f>+Q13+Q14</f>
        <v>136.24200000000002</v>
      </c>
    </row>
    <row r="13" spans="1:17">
      <c r="D13" s="2" t="s">
        <v>20</v>
      </c>
      <c r="F13" s="15">
        <v>37</v>
      </c>
      <c r="G13" s="15">
        <v>37</v>
      </c>
      <c r="H13" s="15">
        <v>37</v>
      </c>
      <c r="I13" s="15">
        <v>37</v>
      </c>
      <c r="J13" s="15">
        <v>37</v>
      </c>
      <c r="K13" s="15">
        <v>37</v>
      </c>
      <c r="L13" s="15">
        <v>37</v>
      </c>
      <c r="M13" s="15">
        <v>37</v>
      </c>
      <c r="N13" s="15">
        <v>37</v>
      </c>
      <c r="O13" s="15">
        <v>37</v>
      </c>
      <c r="P13" s="15">
        <v>37</v>
      </c>
      <c r="Q13" s="15">
        <v>37</v>
      </c>
    </row>
    <row r="14" spans="1:17">
      <c r="D14" s="2" t="s">
        <v>15</v>
      </c>
      <c r="F14" s="15">
        <v>99.242000000000004</v>
      </c>
      <c r="G14" s="15">
        <v>99.242000000000004</v>
      </c>
      <c r="H14" s="15">
        <v>99.242000000000004</v>
      </c>
      <c r="I14" s="15">
        <v>99.242000000000004</v>
      </c>
      <c r="J14" s="15">
        <v>99.242000000000004</v>
      </c>
      <c r="K14" s="15">
        <v>99.242000000000004</v>
      </c>
      <c r="L14" s="15">
        <v>99.242000000000004</v>
      </c>
      <c r="M14" s="15">
        <v>99.242000000000004</v>
      </c>
      <c r="N14" s="15">
        <v>99.242000000000004</v>
      </c>
      <c r="O14" s="15">
        <v>99.242000000000004</v>
      </c>
      <c r="P14" s="15">
        <v>99.242000000000004</v>
      </c>
      <c r="Q14" s="15">
        <v>99.242000000000004</v>
      </c>
    </row>
    <row r="15" spans="1:17"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"/>
      <c r="B16" s="1" t="s">
        <v>168</v>
      </c>
      <c r="C16" s="1"/>
      <c r="D16" s="1"/>
      <c r="E16" s="1"/>
      <c r="F16" s="13">
        <f t="shared" ref="F16:L16" si="3">+F18+F19</f>
        <v>540223</v>
      </c>
      <c r="G16" s="13">
        <f t="shared" si="3"/>
        <v>537824</v>
      </c>
      <c r="H16" s="13">
        <f t="shared" si="3"/>
        <v>494198</v>
      </c>
      <c r="I16" s="13">
        <f t="shared" si="3"/>
        <v>482313</v>
      </c>
      <c r="J16" s="13">
        <f t="shared" si="3"/>
        <v>503981</v>
      </c>
      <c r="K16" s="13">
        <f>+K18+K19</f>
        <v>496990</v>
      </c>
      <c r="L16" s="13">
        <f t="shared" si="3"/>
        <v>463498</v>
      </c>
      <c r="M16" s="13">
        <f>+M18+M19</f>
        <v>463093</v>
      </c>
      <c r="N16" s="13">
        <f>+N18+N19</f>
        <v>448210</v>
      </c>
      <c r="O16" s="13">
        <f>+O18+O19</f>
        <v>446756</v>
      </c>
      <c r="P16" s="13">
        <f>+P18+P19</f>
        <v>447574</v>
      </c>
      <c r="Q16" s="13">
        <f>+Q18+Q19</f>
        <v>449360</v>
      </c>
    </row>
    <row r="17" spans="1:17">
      <c r="A17" s="1"/>
      <c r="B17" s="1"/>
      <c r="C17" s="1"/>
      <c r="D17" s="1"/>
      <c r="E17" s="1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C18" s="2" t="s">
        <v>167</v>
      </c>
      <c r="F18" s="15">
        <v>536221</v>
      </c>
      <c r="G18" s="15">
        <v>533849</v>
      </c>
      <c r="H18" s="15">
        <v>490308</v>
      </c>
      <c r="I18" s="15">
        <v>478479</v>
      </c>
      <c r="J18" s="15">
        <v>500017</v>
      </c>
      <c r="K18" s="15">
        <v>493008</v>
      </c>
      <c r="L18" s="15">
        <v>459570</v>
      </c>
      <c r="M18" s="15">
        <v>459214</v>
      </c>
      <c r="N18" s="15">
        <v>444440</v>
      </c>
      <c r="O18" s="15">
        <v>443054</v>
      </c>
      <c r="P18" s="15">
        <v>443779</v>
      </c>
      <c r="Q18" s="15">
        <v>445595</v>
      </c>
    </row>
    <row r="19" spans="1:17">
      <c r="C19" s="2" t="s">
        <v>19</v>
      </c>
      <c r="F19" s="14">
        <f t="shared" ref="F19:L19" si="4">SUM(F20:F23)</f>
        <v>4002</v>
      </c>
      <c r="G19" s="14">
        <f t="shared" si="4"/>
        <v>3975</v>
      </c>
      <c r="H19" s="14">
        <f t="shared" si="4"/>
        <v>3890</v>
      </c>
      <c r="I19" s="14">
        <f t="shared" si="4"/>
        <v>3834</v>
      </c>
      <c r="J19" s="14">
        <f t="shared" si="4"/>
        <v>3964</v>
      </c>
      <c r="K19" s="14">
        <f t="shared" si="4"/>
        <v>3982</v>
      </c>
      <c r="L19" s="14">
        <f t="shared" si="4"/>
        <v>3928</v>
      </c>
      <c r="M19" s="14">
        <f>SUM(M20:M23)</f>
        <v>3879</v>
      </c>
      <c r="N19" s="14">
        <f>SUM(N20:N23)</f>
        <v>3770</v>
      </c>
      <c r="O19" s="14">
        <f>SUM(O20:O23)</f>
        <v>3702</v>
      </c>
      <c r="P19" s="14">
        <f>SUM(P20:P23)</f>
        <v>3795</v>
      </c>
      <c r="Q19" s="14">
        <f>SUM(Q20:Q23)</f>
        <v>3765</v>
      </c>
    </row>
    <row r="20" spans="1:17">
      <c r="D20" s="2" t="s">
        <v>12</v>
      </c>
      <c r="F20" s="15">
        <v>3965</v>
      </c>
      <c r="G20" s="15">
        <v>3938</v>
      </c>
      <c r="H20" s="15">
        <v>3854</v>
      </c>
      <c r="I20" s="15">
        <v>3799</v>
      </c>
      <c r="J20" s="15">
        <v>3928</v>
      </c>
      <c r="K20" s="15">
        <v>3945</v>
      </c>
      <c r="L20" s="15">
        <v>3892</v>
      </c>
      <c r="M20" s="15">
        <v>3843</v>
      </c>
      <c r="N20" s="15">
        <v>3735</v>
      </c>
      <c r="O20" s="15">
        <v>3668</v>
      </c>
      <c r="P20" s="15">
        <v>3760</v>
      </c>
      <c r="Q20" s="15">
        <v>3730</v>
      </c>
    </row>
    <row r="21" spans="1:17">
      <c r="D21" s="2" t="s">
        <v>13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</row>
    <row r="22" spans="1:17">
      <c r="D22" s="2" t="s">
        <v>21</v>
      </c>
      <c r="F22" s="15">
        <v>37</v>
      </c>
      <c r="G22" s="15">
        <v>37</v>
      </c>
      <c r="H22" s="15">
        <v>36</v>
      </c>
      <c r="I22" s="15">
        <v>35</v>
      </c>
      <c r="J22" s="15">
        <v>36</v>
      </c>
      <c r="K22" s="15">
        <v>37</v>
      </c>
      <c r="L22" s="15">
        <v>36</v>
      </c>
      <c r="M22" s="15">
        <v>36</v>
      </c>
      <c r="N22" s="15">
        <v>35</v>
      </c>
      <c r="O22" s="15">
        <v>34</v>
      </c>
      <c r="P22" s="15">
        <v>35</v>
      </c>
      <c r="Q22" s="15">
        <v>35</v>
      </c>
    </row>
    <row r="23" spans="1:17">
      <c r="D23" s="2" t="s">
        <v>15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</row>
    <row r="26" spans="1:17">
      <c r="A26" s="8"/>
      <c r="B26" s="9"/>
      <c r="C26" s="9"/>
      <c r="D26" s="9"/>
    </row>
    <row r="27" spans="1:17">
      <c r="A27" s="2" t="s">
        <v>11</v>
      </c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  <row r="65" spans="1:5">
      <c r="A65" s="3"/>
      <c r="B65" s="3"/>
      <c r="C65" s="3"/>
      <c r="D65" s="3"/>
      <c r="E65" s="3"/>
    </row>
    <row r="66" spans="1:5">
      <c r="A66" s="3"/>
      <c r="B66" s="3"/>
      <c r="C66" s="3"/>
      <c r="D66" s="3"/>
      <c r="E66" s="3"/>
    </row>
  </sheetData>
  <mergeCells count="1">
    <mergeCell ref="A5:E5"/>
  </mergeCells>
  <printOptions horizontalCentered="1"/>
  <pageMargins left="0.23622047244094491" right="0" top="0.98425196850393704" bottom="0.23622047244094491" header="0.51181102362204722" footer="0.51181102362204722"/>
  <pageSetup paperSize="9" scale="87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">
    <pageSetUpPr fitToPage="1"/>
  </sheetPr>
  <dimension ref="A1:W59"/>
  <sheetViews>
    <sheetView zoomScaleNormal="100" workbookViewId="0">
      <selection activeCell="D11" sqref="D11"/>
    </sheetView>
  </sheetViews>
  <sheetFormatPr defaultRowHeight="16.5"/>
  <cols>
    <col min="1" max="1" width="2" style="2" customWidth="1"/>
    <col min="2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8.42578125" style="2" customWidth="1"/>
    <col min="7" max="7" width="10.85546875" style="15" hidden="1" customWidth="1"/>
    <col min="8" max="8" width="4.140625" style="15" hidden="1" customWidth="1"/>
    <col min="9" max="9" width="2.5703125" style="15" hidden="1" customWidth="1"/>
    <col min="10" max="10" width="4.140625" style="15" hidden="1" customWidth="1"/>
    <col min="11" max="11" width="4.85546875" style="15" hidden="1" customWidth="1"/>
    <col min="12" max="23" width="10.140625" style="2" bestFit="1" customWidth="1"/>
    <col min="24" max="256" width="9.140625" style="2"/>
    <col min="257" max="257" width="2" style="2" customWidth="1"/>
    <col min="258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8.42578125" style="2" customWidth="1"/>
    <col min="263" max="267" width="0" style="2" hidden="1" customWidth="1"/>
    <col min="268" max="269" width="9.5703125" style="2" customWidth="1"/>
    <col min="270" max="278" width="9.42578125" style="2" customWidth="1"/>
    <col min="279" max="279" width="9.5703125" style="2" customWidth="1"/>
    <col min="280" max="512" width="9.140625" style="2"/>
    <col min="513" max="513" width="2" style="2" customWidth="1"/>
    <col min="514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8.42578125" style="2" customWidth="1"/>
    <col min="519" max="523" width="0" style="2" hidden="1" customWidth="1"/>
    <col min="524" max="525" width="9.5703125" style="2" customWidth="1"/>
    <col min="526" max="534" width="9.42578125" style="2" customWidth="1"/>
    <col min="535" max="535" width="9.5703125" style="2" customWidth="1"/>
    <col min="536" max="768" width="9.140625" style="2"/>
    <col min="769" max="769" width="2" style="2" customWidth="1"/>
    <col min="770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8.42578125" style="2" customWidth="1"/>
    <col min="775" max="779" width="0" style="2" hidden="1" customWidth="1"/>
    <col min="780" max="781" width="9.5703125" style="2" customWidth="1"/>
    <col min="782" max="790" width="9.42578125" style="2" customWidth="1"/>
    <col min="791" max="791" width="9.5703125" style="2" customWidth="1"/>
    <col min="792" max="1024" width="9.140625" style="2"/>
    <col min="1025" max="1025" width="2" style="2" customWidth="1"/>
    <col min="1026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8.42578125" style="2" customWidth="1"/>
    <col min="1031" max="1035" width="0" style="2" hidden="1" customWidth="1"/>
    <col min="1036" max="1037" width="9.5703125" style="2" customWidth="1"/>
    <col min="1038" max="1046" width="9.42578125" style="2" customWidth="1"/>
    <col min="1047" max="1047" width="9.5703125" style="2" customWidth="1"/>
    <col min="1048" max="1280" width="9.140625" style="2"/>
    <col min="1281" max="1281" width="2" style="2" customWidth="1"/>
    <col min="1282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8.42578125" style="2" customWidth="1"/>
    <col min="1287" max="1291" width="0" style="2" hidden="1" customWidth="1"/>
    <col min="1292" max="1293" width="9.5703125" style="2" customWidth="1"/>
    <col min="1294" max="1302" width="9.42578125" style="2" customWidth="1"/>
    <col min="1303" max="1303" width="9.5703125" style="2" customWidth="1"/>
    <col min="1304" max="1536" width="9.140625" style="2"/>
    <col min="1537" max="1537" width="2" style="2" customWidth="1"/>
    <col min="1538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8.42578125" style="2" customWidth="1"/>
    <col min="1543" max="1547" width="0" style="2" hidden="1" customWidth="1"/>
    <col min="1548" max="1549" width="9.5703125" style="2" customWidth="1"/>
    <col min="1550" max="1558" width="9.42578125" style="2" customWidth="1"/>
    <col min="1559" max="1559" width="9.5703125" style="2" customWidth="1"/>
    <col min="1560" max="1792" width="9.140625" style="2"/>
    <col min="1793" max="1793" width="2" style="2" customWidth="1"/>
    <col min="1794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8.42578125" style="2" customWidth="1"/>
    <col min="1799" max="1803" width="0" style="2" hidden="1" customWidth="1"/>
    <col min="1804" max="1805" width="9.5703125" style="2" customWidth="1"/>
    <col min="1806" max="1814" width="9.42578125" style="2" customWidth="1"/>
    <col min="1815" max="1815" width="9.5703125" style="2" customWidth="1"/>
    <col min="1816" max="2048" width="9.140625" style="2"/>
    <col min="2049" max="2049" width="2" style="2" customWidth="1"/>
    <col min="2050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8.42578125" style="2" customWidth="1"/>
    <col min="2055" max="2059" width="0" style="2" hidden="1" customWidth="1"/>
    <col min="2060" max="2061" width="9.5703125" style="2" customWidth="1"/>
    <col min="2062" max="2070" width="9.42578125" style="2" customWidth="1"/>
    <col min="2071" max="2071" width="9.5703125" style="2" customWidth="1"/>
    <col min="2072" max="2304" width="9.140625" style="2"/>
    <col min="2305" max="2305" width="2" style="2" customWidth="1"/>
    <col min="2306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8.42578125" style="2" customWidth="1"/>
    <col min="2311" max="2315" width="0" style="2" hidden="1" customWidth="1"/>
    <col min="2316" max="2317" width="9.5703125" style="2" customWidth="1"/>
    <col min="2318" max="2326" width="9.42578125" style="2" customWidth="1"/>
    <col min="2327" max="2327" width="9.5703125" style="2" customWidth="1"/>
    <col min="2328" max="2560" width="9.140625" style="2"/>
    <col min="2561" max="2561" width="2" style="2" customWidth="1"/>
    <col min="2562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8.42578125" style="2" customWidth="1"/>
    <col min="2567" max="2571" width="0" style="2" hidden="1" customWidth="1"/>
    <col min="2572" max="2573" width="9.5703125" style="2" customWidth="1"/>
    <col min="2574" max="2582" width="9.42578125" style="2" customWidth="1"/>
    <col min="2583" max="2583" width="9.5703125" style="2" customWidth="1"/>
    <col min="2584" max="2816" width="9.140625" style="2"/>
    <col min="2817" max="2817" width="2" style="2" customWidth="1"/>
    <col min="2818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8.42578125" style="2" customWidth="1"/>
    <col min="2823" max="2827" width="0" style="2" hidden="1" customWidth="1"/>
    <col min="2828" max="2829" width="9.5703125" style="2" customWidth="1"/>
    <col min="2830" max="2838" width="9.42578125" style="2" customWidth="1"/>
    <col min="2839" max="2839" width="9.5703125" style="2" customWidth="1"/>
    <col min="2840" max="3072" width="9.140625" style="2"/>
    <col min="3073" max="3073" width="2" style="2" customWidth="1"/>
    <col min="3074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8.42578125" style="2" customWidth="1"/>
    <col min="3079" max="3083" width="0" style="2" hidden="1" customWidth="1"/>
    <col min="3084" max="3085" width="9.5703125" style="2" customWidth="1"/>
    <col min="3086" max="3094" width="9.42578125" style="2" customWidth="1"/>
    <col min="3095" max="3095" width="9.5703125" style="2" customWidth="1"/>
    <col min="3096" max="3328" width="9.140625" style="2"/>
    <col min="3329" max="3329" width="2" style="2" customWidth="1"/>
    <col min="3330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8.42578125" style="2" customWidth="1"/>
    <col min="3335" max="3339" width="0" style="2" hidden="1" customWidth="1"/>
    <col min="3340" max="3341" width="9.5703125" style="2" customWidth="1"/>
    <col min="3342" max="3350" width="9.42578125" style="2" customWidth="1"/>
    <col min="3351" max="3351" width="9.5703125" style="2" customWidth="1"/>
    <col min="3352" max="3584" width="9.140625" style="2"/>
    <col min="3585" max="3585" width="2" style="2" customWidth="1"/>
    <col min="3586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8.42578125" style="2" customWidth="1"/>
    <col min="3591" max="3595" width="0" style="2" hidden="1" customWidth="1"/>
    <col min="3596" max="3597" width="9.5703125" style="2" customWidth="1"/>
    <col min="3598" max="3606" width="9.42578125" style="2" customWidth="1"/>
    <col min="3607" max="3607" width="9.5703125" style="2" customWidth="1"/>
    <col min="3608" max="3840" width="9.140625" style="2"/>
    <col min="3841" max="3841" width="2" style="2" customWidth="1"/>
    <col min="3842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8.42578125" style="2" customWidth="1"/>
    <col min="3847" max="3851" width="0" style="2" hidden="1" customWidth="1"/>
    <col min="3852" max="3853" width="9.5703125" style="2" customWidth="1"/>
    <col min="3854" max="3862" width="9.42578125" style="2" customWidth="1"/>
    <col min="3863" max="3863" width="9.5703125" style="2" customWidth="1"/>
    <col min="3864" max="4096" width="9.140625" style="2"/>
    <col min="4097" max="4097" width="2" style="2" customWidth="1"/>
    <col min="4098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8.42578125" style="2" customWidth="1"/>
    <col min="4103" max="4107" width="0" style="2" hidden="1" customWidth="1"/>
    <col min="4108" max="4109" width="9.5703125" style="2" customWidth="1"/>
    <col min="4110" max="4118" width="9.42578125" style="2" customWidth="1"/>
    <col min="4119" max="4119" width="9.5703125" style="2" customWidth="1"/>
    <col min="4120" max="4352" width="9.140625" style="2"/>
    <col min="4353" max="4353" width="2" style="2" customWidth="1"/>
    <col min="4354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8.42578125" style="2" customWidth="1"/>
    <col min="4359" max="4363" width="0" style="2" hidden="1" customWidth="1"/>
    <col min="4364" max="4365" width="9.5703125" style="2" customWidth="1"/>
    <col min="4366" max="4374" width="9.42578125" style="2" customWidth="1"/>
    <col min="4375" max="4375" width="9.5703125" style="2" customWidth="1"/>
    <col min="4376" max="4608" width="9.140625" style="2"/>
    <col min="4609" max="4609" width="2" style="2" customWidth="1"/>
    <col min="4610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8.42578125" style="2" customWidth="1"/>
    <col min="4615" max="4619" width="0" style="2" hidden="1" customWidth="1"/>
    <col min="4620" max="4621" width="9.5703125" style="2" customWidth="1"/>
    <col min="4622" max="4630" width="9.42578125" style="2" customWidth="1"/>
    <col min="4631" max="4631" width="9.5703125" style="2" customWidth="1"/>
    <col min="4632" max="4864" width="9.140625" style="2"/>
    <col min="4865" max="4865" width="2" style="2" customWidth="1"/>
    <col min="4866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8.42578125" style="2" customWidth="1"/>
    <col min="4871" max="4875" width="0" style="2" hidden="1" customWidth="1"/>
    <col min="4876" max="4877" width="9.5703125" style="2" customWidth="1"/>
    <col min="4878" max="4886" width="9.42578125" style="2" customWidth="1"/>
    <col min="4887" max="4887" width="9.5703125" style="2" customWidth="1"/>
    <col min="4888" max="5120" width="9.140625" style="2"/>
    <col min="5121" max="5121" width="2" style="2" customWidth="1"/>
    <col min="5122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8.42578125" style="2" customWidth="1"/>
    <col min="5127" max="5131" width="0" style="2" hidden="1" customWidth="1"/>
    <col min="5132" max="5133" width="9.5703125" style="2" customWidth="1"/>
    <col min="5134" max="5142" width="9.42578125" style="2" customWidth="1"/>
    <col min="5143" max="5143" width="9.5703125" style="2" customWidth="1"/>
    <col min="5144" max="5376" width="9.140625" style="2"/>
    <col min="5377" max="5377" width="2" style="2" customWidth="1"/>
    <col min="5378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8.42578125" style="2" customWidth="1"/>
    <col min="5383" max="5387" width="0" style="2" hidden="1" customWidth="1"/>
    <col min="5388" max="5389" width="9.5703125" style="2" customWidth="1"/>
    <col min="5390" max="5398" width="9.42578125" style="2" customWidth="1"/>
    <col min="5399" max="5399" width="9.5703125" style="2" customWidth="1"/>
    <col min="5400" max="5632" width="9.140625" style="2"/>
    <col min="5633" max="5633" width="2" style="2" customWidth="1"/>
    <col min="5634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8.42578125" style="2" customWidth="1"/>
    <col min="5639" max="5643" width="0" style="2" hidden="1" customWidth="1"/>
    <col min="5644" max="5645" width="9.5703125" style="2" customWidth="1"/>
    <col min="5646" max="5654" width="9.42578125" style="2" customWidth="1"/>
    <col min="5655" max="5655" width="9.5703125" style="2" customWidth="1"/>
    <col min="5656" max="5888" width="9.140625" style="2"/>
    <col min="5889" max="5889" width="2" style="2" customWidth="1"/>
    <col min="5890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8.42578125" style="2" customWidth="1"/>
    <col min="5895" max="5899" width="0" style="2" hidden="1" customWidth="1"/>
    <col min="5900" max="5901" width="9.5703125" style="2" customWidth="1"/>
    <col min="5902" max="5910" width="9.42578125" style="2" customWidth="1"/>
    <col min="5911" max="5911" width="9.5703125" style="2" customWidth="1"/>
    <col min="5912" max="6144" width="9.140625" style="2"/>
    <col min="6145" max="6145" width="2" style="2" customWidth="1"/>
    <col min="6146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8.42578125" style="2" customWidth="1"/>
    <col min="6151" max="6155" width="0" style="2" hidden="1" customWidth="1"/>
    <col min="6156" max="6157" width="9.5703125" style="2" customWidth="1"/>
    <col min="6158" max="6166" width="9.42578125" style="2" customWidth="1"/>
    <col min="6167" max="6167" width="9.5703125" style="2" customWidth="1"/>
    <col min="6168" max="6400" width="9.140625" style="2"/>
    <col min="6401" max="6401" width="2" style="2" customWidth="1"/>
    <col min="6402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8.42578125" style="2" customWidth="1"/>
    <col min="6407" max="6411" width="0" style="2" hidden="1" customWidth="1"/>
    <col min="6412" max="6413" width="9.5703125" style="2" customWidth="1"/>
    <col min="6414" max="6422" width="9.42578125" style="2" customWidth="1"/>
    <col min="6423" max="6423" width="9.5703125" style="2" customWidth="1"/>
    <col min="6424" max="6656" width="9.140625" style="2"/>
    <col min="6657" max="6657" width="2" style="2" customWidth="1"/>
    <col min="6658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8.42578125" style="2" customWidth="1"/>
    <col min="6663" max="6667" width="0" style="2" hidden="1" customWidth="1"/>
    <col min="6668" max="6669" width="9.5703125" style="2" customWidth="1"/>
    <col min="6670" max="6678" width="9.42578125" style="2" customWidth="1"/>
    <col min="6679" max="6679" width="9.5703125" style="2" customWidth="1"/>
    <col min="6680" max="6912" width="9.140625" style="2"/>
    <col min="6913" max="6913" width="2" style="2" customWidth="1"/>
    <col min="6914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8.42578125" style="2" customWidth="1"/>
    <col min="6919" max="6923" width="0" style="2" hidden="1" customWidth="1"/>
    <col min="6924" max="6925" width="9.5703125" style="2" customWidth="1"/>
    <col min="6926" max="6934" width="9.42578125" style="2" customWidth="1"/>
    <col min="6935" max="6935" width="9.5703125" style="2" customWidth="1"/>
    <col min="6936" max="7168" width="9.140625" style="2"/>
    <col min="7169" max="7169" width="2" style="2" customWidth="1"/>
    <col min="7170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8.42578125" style="2" customWidth="1"/>
    <col min="7175" max="7179" width="0" style="2" hidden="1" customWidth="1"/>
    <col min="7180" max="7181" width="9.5703125" style="2" customWidth="1"/>
    <col min="7182" max="7190" width="9.42578125" style="2" customWidth="1"/>
    <col min="7191" max="7191" width="9.5703125" style="2" customWidth="1"/>
    <col min="7192" max="7424" width="9.140625" style="2"/>
    <col min="7425" max="7425" width="2" style="2" customWidth="1"/>
    <col min="7426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8.42578125" style="2" customWidth="1"/>
    <col min="7431" max="7435" width="0" style="2" hidden="1" customWidth="1"/>
    <col min="7436" max="7437" width="9.5703125" style="2" customWidth="1"/>
    <col min="7438" max="7446" width="9.42578125" style="2" customWidth="1"/>
    <col min="7447" max="7447" width="9.5703125" style="2" customWidth="1"/>
    <col min="7448" max="7680" width="9.140625" style="2"/>
    <col min="7681" max="7681" width="2" style="2" customWidth="1"/>
    <col min="7682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8.42578125" style="2" customWidth="1"/>
    <col min="7687" max="7691" width="0" style="2" hidden="1" customWidth="1"/>
    <col min="7692" max="7693" width="9.5703125" style="2" customWidth="1"/>
    <col min="7694" max="7702" width="9.42578125" style="2" customWidth="1"/>
    <col min="7703" max="7703" width="9.5703125" style="2" customWidth="1"/>
    <col min="7704" max="7936" width="9.140625" style="2"/>
    <col min="7937" max="7937" width="2" style="2" customWidth="1"/>
    <col min="7938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8.42578125" style="2" customWidth="1"/>
    <col min="7943" max="7947" width="0" style="2" hidden="1" customWidth="1"/>
    <col min="7948" max="7949" width="9.5703125" style="2" customWidth="1"/>
    <col min="7950" max="7958" width="9.42578125" style="2" customWidth="1"/>
    <col min="7959" max="7959" width="9.5703125" style="2" customWidth="1"/>
    <col min="7960" max="8192" width="9.140625" style="2"/>
    <col min="8193" max="8193" width="2" style="2" customWidth="1"/>
    <col min="8194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8.42578125" style="2" customWidth="1"/>
    <col min="8199" max="8203" width="0" style="2" hidden="1" customWidth="1"/>
    <col min="8204" max="8205" width="9.5703125" style="2" customWidth="1"/>
    <col min="8206" max="8214" width="9.42578125" style="2" customWidth="1"/>
    <col min="8215" max="8215" width="9.5703125" style="2" customWidth="1"/>
    <col min="8216" max="8448" width="9.140625" style="2"/>
    <col min="8449" max="8449" width="2" style="2" customWidth="1"/>
    <col min="8450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8.42578125" style="2" customWidth="1"/>
    <col min="8455" max="8459" width="0" style="2" hidden="1" customWidth="1"/>
    <col min="8460" max="8461" width="9.5703125" style="2" customWidth="1"/>
    <col min="8462" max="8470" width="9.42578125" style="2" customWidth="1"/>
    <col min="8471" max="8471" width="9.5703125" style="2" customWidth="1"/>
    <col min="8472" max="8704" width="9.140625" style="2"/>
    <col min="8705" max="8705" width="2" style="2" customWidth="1"/>
    <col min="8706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8.42578125" style="2" customWidth="1"/>
    <col min="8711" max="8715" width="0" style="2" hidden="1" customWidth="1"/>
    <col min="8716" max="8717" width="9.5703125" style="2" customWidth="1"/>
    <col min="8718" max="8726" width="9.42578125" style="2" customWidth="1"/>
    <col min="8727" max="8727" width="9.5703125" style="2" customWidth="1"/>
    <col min="8728" max="8960" width="9.140625" style="2"/>
    <col min="8961" max="8961" width="2" style="2" customWidth="1"/>
    <col min="8962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8.42578125" style="2" customWidth="1"/>
    <col min="8967" max="8971" width="0" style="2" hidden="1" customWidth="1"/>
    <col min="8972" max="8973" width="9.5703125" style="2" customWidth="1"/>
    <col min="8974" max="8982" width="9.42578125" style="2" customWidth="1"/>
    <col min="8983" max="8983" width="9.5703125" style="2" customWidth="1"/>
    <col min="8984" max="9216" width="9.140625" style="2"/>
    <col min="9217" max="9217" width="2" style="2" customWidth="1"/>
    <col min="9218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8.42578125" style="2" customWidth="1"/>
    <col min="9223" max="9227" width="0" style="2" hidden="1" customWidth="1"/>
    <col min="9228" max="9229" width="9.5703125" style="2" customWidth="1"/>
    <col min="9230" max="9238" width="9.42578125" style="2" customWidth="1"/>
    <col min="9239" max="9239" width="9.5703125" style="2" customWidth="1"/>
    <col min="9240" max="9472" width="9.140625" style="2"/>
    <col min="9473" max="9473" width="2" style="2" customWidth="1"/>
    <col min="9474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8.42578125" style="2" customWidth="1"/>
    <col min="9479" max="9483" width="0" style="2" hidden="1" customWidth="1"/>
    <col min="9484" max="9485" width="9.5703125" style="2" customWidth="1"/>
    <col min="9486" max="9494" width="9.42578125" style="2" customWidth="1"/>
    <col min="9495" max="9495" width="9.5703125" style="2" customWidth="1"/>
    <col min="9496" max="9728" width="9.140625" style="2"/>
    <col min="9729" max="9729" width="2" style="2" customWidth="1"/>
    <col min="9730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8.42578125" style="2" customWidth="1"/>
    <col min="9735" max="9739" width="0" style="2" hidden="1" customWidth="1"/>
    <col min="9740" max="9741" width="9.5703125" style="2" customWidth="1"/>
    <col min="9742" max="9750" width="9.42578125" style="2" customWidth="1"/>
    <col min="9751" max="9751" width="9.5703125" style="2" customWidth="1"/>
    <col min="9752" max="9984" width="9.140625" style="2"/>
    <col min="9985" max="9985" width="2" style="2" customWidth="1"/>
    <col min="9986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8.42578125" style="2" customWidth="1"/>
    <col min="9991" max="9995" width="0" style="2" hidden="1" customWidth="1"/>
    <col min="9996" max="9997" width="9.5703125" style="2" customWidth="1"/>
    <col min="9998" max="10006" width="9.42578125" style="2" customWidth="1"/>
    <col min="10007" max="10007" width="9.5703125" style="2" customWidth="1"/>
    <col min="10008" max="10240" width="9.140625" style="2"/>
    <col min="10241" max="10241" width="2" style="2" customWidth="1"/>
    <col min="10242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8.42578125" style="2" customWidth="1"/>
    <col min="10247" max="10251" width="0" style="2" hidden="1" customWidth="1"/>
    <col min="10252" max="10253" width="9.5703125" style="2" customWidth="1"/>
    <col min="10254" max="10262" width="9.42578125" style="2" customWidth="1"/>
    <col min="10263" max="10263" width="9.5703125" style="2" customWidth="1"/>
    <col min="10264" max="10496" width="9.140625" style="2"/>
    <col min="10497" max="10497" width="2" style="2" customWidth="1"/>
    <col min="10498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8.42578125" style="2" customWidth="1"/>
    <col min="10503" max="10507" width="0" style="2" hidden="1" customWidth="1"/>
    <col min="10508" max="10509" width="9.5703125" style="2" customWidth="1"/>
    <col min="10510" max="10518" width="9.42578125" style="2" customWidth="1"/>
    <col min="10519" max="10519" width="9.5703125" style="2" customWidth="1"/>
    <col min="10520" max="10752" width="9.140625" style="2"/>
    <col min="10753" max="10753" width="2" style="2" customWidth="1"/>
    <col min="10754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8.42578125" style="2" customWidth="1"/>
    <col min="10759" max="10763" width="0" style="2" hidden="1" customWidth="1"/>
    <col min="10764" max="10765" width="9.5703125" style="2" customWidth="1"/>
    <col min="10766" max="10774" width="9.42578125" style="2" customWidth="1"/>
    <col min="10775" max="10775" width="9.5703125" style="2" customWidth="1"/>
    <col min="10776" max="11008" width="9.140625" style="2"/>
    <col min="11009" max="11009" width="2" style="2" customWidth="1"/>
    <col min="11010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8.42578125" style="2" customWidth="1"/>
    <col min="11015" max="11019" width="0" style="2" hidden="1" customWidth="1"/>
    <col min="11020" max="11021" width="9.5703125" style="2" customWidth="1"/>
    <col min="11022" max="11030" width="9.42578125" style="2" customWidth="1"/>
    <col min="11031" max="11031" width="9.5703125" style="2" customWidth="1"/>
    <col min="11032" max="11264" width="9.140625" style="2"/>
    <col min="11265" max="11265" width="2" style="2" customWidth="1"/>
    <col min="11266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8.42578125" style="2" customWidth="1"/>
    <col min="11271" max="11275" width="0" style="2" hidden="1" customWidth="1"/>
    <col min="11276" max="11277" width="9.5703125" style="2" customWidth="1"/>
    <col min="11278" max="11286" width="9.42578125" style="2" customWidth="1"/>
    <col min="11287" max="11287" width="9.5703125" style="2" customWidth="1"/>
    <col min="11288" max="11520" width="9.140625" style="2"/>
    <col min="11521" max="11521" width="2" style="2" customWidth="1"/>
    <col min="11522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8.42578125" style="2" customWidth="1"/>
    <col min="11527" max="11531" width="0" style="2" hidden="1" customWidth="1"/>
    <col min="11532" max="11533" width="9.5703125" style="2" customWidth="1"/>
    <col min="11534" max="11542" width="9.42578125" style="2" customWidth="1"/>
    <col min="11543" max="11543" width="9.5703125" style="2" customWidth="1"/>
    <col min="11544" max="11776" width="9.140625" style="2"/>
    <col min="11777" max="11777" width="2" style="2" customWidth="1"/>
    <col min="11778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8.42578125" style="2" customWidth="1"/>
    <col min="11783" max="11787" width="0" style="2" hidden="1" customWidth="1"/>
    <col min="11788" max="11789" width="9.5703125" style="2" customWidth="1"/>
    <col min="11790" max="11798" width="9.42578125" style="2" customWidth="1"/>
    <col min="11799" max="11799" width="9.5703125" style="2" customWidth="1"/>
    <col min="11800" max="12032" width="9.140625" style="2"/>
    <col min="12033" max="12033" width="2" style="2" customWidth="1"/>
    <col min="12034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8.42578125" style="2" customWidth="1"/>
    <col min="12039" max="12043" width="0" style="2" hidden="1" customWidth="1"/>
    <col min="12044" max="12045" width="9.5703125" style="2" customWidth="1"/>
    <col min="12046" max="12054" width="9.42578125" style="2" customWidth="1"/>
    <col min="12055" max="12055" width="9.5703125" style="2" customWidth="1"/>
    <col min="12056" max="12288" width="9.140625" style="2"/>
    <col min="12289" max="12289" width="2" style="2" customWidth="1"/>
    <col min="12290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8.42578125" style="2" customWidth="1"/>
    <col min="12295" max="12299" width="0" style="2" hidden="1" customWidth="1"/>
    <col min="12300" max="12301" width="9.5703125" style="2" customWidth="1"/>
    <col min="12302" max="12310" width="9.42578125" style="2" customWidth="1"/>
    <col min="12311" max="12311" width="9.5703125" style="2" customWidth="1"/>
    <col min="12312" max="12544" width="9.140625" style="2"/>
    <col min="12545" max="12545" width="2" style="2" customWidth="1"/>
    <col min="12546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8.42578125" style="2" customWidth="1"/>
    <col min="12551" max="12555" width="0" style="2" hidden="1" customWidth="1"/>
    <col min="12556" max="12557" width="9.5703125" style="2" customWidth="1"/>
    <col min="12558" max="12566" width="9.42578125" style="2" customWidth="1"/>
    <col min="12567" max="12567" width="9.5703125" style="2" customWidth="1"/>
    <col min="12568" max="12800" width="9.140625" style="2"/>
    <col min="12801" max="12801" width="2" style="2" customWidth="1"/>
    <col min="12802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8.42578125" style="2" customWidth="1"/>
    <col min="12807" max="12811" width="0" style="2" hidden="1" customWidth="1"/>
    <col min="12812" max="12813" width="9.5703125" style="2" customWidth="1"/>
    <col min="12814" max="12822" width="9.42578125" style="2" customWidth="1"/>
    <col min="12823" max="12823" width="9.5703125" style="2" customWidth="1"/>
    <col min="12824" max="13056" width="9.140625" style="2"/>
    <col min="13057" max="13057" width="2" style="2" customWidth="1"/>
    <col min="13058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8.42578125" style="2" customWidth="1"/>
    <col min="13063" max="13067" width="0" style="2" hidden="1" customWidth="1"/>
    <col min="13068" max="13069" width="9.5703125" style="2" customWidth="1"/>
    <col min="13070" max="13078" width="9.42578125" style="2" customWidth="1"/>
    <col min="13079" max="13079" width="9.5703125" style="2" customWidth="1"/>
    <col min="13080" max="13312" width="9.140625" style="2"/>
    <col min="13313" max="13313" width="2" style="2" customWidth="1"/>
    <col min="13314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8.42578125" style="2" customWidth="1"/>
    <col min="13319" max="13323" width="0" style="2" hidden="1" customWidth="1"/>
    <col min="13324" max="13325" width="9.5703125" style="2" customWidth="1"/>
    <col min="13326" max="13334" width="9.42578125" style="2" customWidth="1"/>
    <col min="13335" max="13335" width="9.5703125" style="2" customWidth="1"/>
    <col min="13336" max="13568" width="9.140625" style="2"/>
    <col min="13569" max="13569" width="2" style="2" customWidth="1"/>
    <col min="13570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8.42578125" style="2" customWidth="1"/>
    <col min="13575" max="13579" width="0" style="2" hidden="1" customWidth="1"/>
    <col min="13580" max="13581" width="9.5703125" style="2" customWidth="1"/>
    <col min="13582" max="13590" width="9.42578125" style="2" customWidth="1"/>
    <col min="13591" max="13591" width="9.5703125" style="2" customWidth="1"/>
    <col min="13592" max="13824" width="9.140625" style="2"/>
    <col min="13825" max="13825" width="2" style="2" customWidth="1"/>
    <col min="13826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8.42578125" style="2" customWidth="1"/>
    <col min="13831" max="13835" width="0" style="2" hidden="1" customWidth="1"/>
    <col min="13836" max="13837" width="9.5703125" style="2" customWidth="1"/>
    <col min="13838" max="13846" width="9.42578125" style="2" customWidth="1"/>
    <col min="13847" max="13847" width="9.5703125" style="2" customWidth="1"/>
    <col min="13848" max="14080" width="9.140625" style="2"/>
    <col min="14081" max="14081" width="2" style="2" customWidth="1"/>
    <col min="14082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8.42578125" style="2" customWidth="1"/>
    <col min="14087" max="14091" width="0" style="2" hidden="1" customWidth="1"/>
    <col min="14092" max="14093" width="9.5703125" style="2" customWidth="1"/>
    <col min="14094" max="14102" width="9.42578125" style="2" customWidth="1"/>
    <col min="14103" max="14103" width="9.5703125" style="2" customWidth="1"/>
    <col min="14104" max="14336" width="9.140625" style="2"/>
    <col min="14337" max="14337" width="2" style="2" customWidth="1"/>
    <col min="14338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8.42578125" style="2" customWidth="1"/>
    <col min="14343" max="14347" width="0" style="2" hidden="1" customWidth="1"/>
    <col min="14348" max="14349" width="9.5703125" style="2" customWidth="1"/>
    <col min="14350" max="14358" width="9.42578125" style="2" customWidth="1"/>
    <col min="14359" max="14359" width="9.5703125" style="2" customWidth="1"/>
    <col min="14360" max="14592" width="9.140625" style="2"/>
    <col min="14593" max="14593" width="2" style="2" customWidth="1"/>
    <col min="14594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8.42578125" style="2" customWidth="1"/>
    <col min="14599" max="14603" width="0" style="2" hidden="1" customWidth="1"/>
    <col min="14604" max="14605" width="9.5703125" style="2" customWidth="1"/>
    <col min="14606" max="14614" width="9.42578125" style="2" customWidth="1"/>
    <col min="14615" max="14615" width="9.5703125" style="2" customWidth="1"/>
    <col min="14616" max="14848" width="9.140625" style="2"/>
    <col min="14849" max="14849" width="2" style="2" customWidth="1"/>
    <col min="14850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8.42578125" style="2" customWidth="1"/>
    <col min="14855" max="14859" width="0" style="2" hidden="1" customWidth="1"/>
    <col min="14860" max="14861" width="9.5703125" style="2" customWidth="1"/>
    <col min="14862" max="14870" width="9.42578125" style="2" customWidth="1"/>
    <col min="14871" max="14871" width="9.5703125" style="2" customWidth="1"/>
    <col min="14872" max="15104" width="9.140625" style="2"/>
    <col min="15105" max="15105" width="2" style="2" customWidth="1"/>
    <col min="15106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8.42578125" style="2" customWidth="1"/>
    <col min="15111" max="15115" width="0" style="2" hidden="1" customWidth="1"/>
    <col min="15116" max="15117" width="9.5703125" style="2" customWidth="1"/>
    <col min="15118" max="15126" width="9.42578125" style="2" customWidth="1"/>
    <col min="15127" max="15127" width="9.5703125" style="2" customWidth="1"/>
    <col min="15128" max="15360" width="9.140625" style="2"/>
    <col min="15361" max="15361" width="2" style="2" customWidth="1"/>
    <col min="15362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8.42578125" style="2" customWidth="1"/>
    <col min="15367" max="15371" width="0" style="2" hidden="1" customWidth="1"/>
    <col min="15372" max="15373" width="9.5703125" style="2" customWidth="1"/>
    <col min="15374" max="15382" width="9.42578125" style="2" customWidth="1"/>
    <col min="15383" max="15383" width="9.5703125" style="2" customWidth="1"/>
    <col min="15384" max="15616" width="9.140625" style="2"/>
    <col min="15617" max="15617" width="2" style="2" customWidth="1"/>
    <col min="15618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8.42578125" style="2" customWidth="1"/>
    <col min="15623" max="15627" width="0" style="2" hidden="1" customWidth="1"/>
    <col min="15628" max="15629" width="9.5703125" style="2" customWidth="1"/>
    <col min="15630" max="15638" width="9.42578125" style="2" customWidth="1"/>
    <col min="15639" max="15639" width="9.5703125" style="2" customWidth="1"/>
    <col min="15640" max="15872" width="9.140625" style="2"/>
    <col min="15873" max="15873" width="2" style="2" customWidth="1"/>
    <col min="15874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8.42578125" style="2" customWidth="1"/>
    <col min="15879" max="15883" width="0" style="2" hidden="1" customWidth="1"/>
    <col min="15884" max="15885" width="9.5703125" style="2" customWidth="1"/>
    <col min="15886" max="15894" width="9.42578125" style="2" customWidth="1"/>
    <col min="15895" max="15895" width="9.5703125" style="2" customWidth="1"/>
    <col min="15896" max="16128" width="9.140625" style="2"/>
    <col min="16129" max="16129" width="2" style="2" customWidth="1"/>
    <col min="16130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8.42578125" style="2" customWidth="1"/>
    <col min="16135" max="16139" width="0" style="2" hidden="1" customWidth="1"/>
    <col min="16140" max="16141" width="9.5703125" style="2" customWidth="1"/>
    <col min="16142" max="16150" width="9.42578125" style="2" customWidth="1"/>
    <col min="16151" max="16151" width="9.5703125" style="2" customWidth="1"/>
    <col min="16152" max="16384" width="9.140625" style="2"/>
  </cols>
  <sheetData>
    <row r="1" spans="1:23">
      <c r="A1" s="1" t="s">
        <v>25</v>
      </c>
    </row>
    <row r="2" spans="1:23">
      <c r="A2" s="1" t="s">
        <v>58</v>
      </c>
      <c r="F2" s="1" t="s">
        <v>35</v>
      </c>
    </row>
    <row r="3" spans="1:23">
      <c r="A3" s="2" t="s">
        <v>0</v>
      </c>
      <c r="L3" s="2" t="s">
        <v>35</v>
      </c>
    </row>
    <row r="4" spans="1:23" ht="12" customHeight="1"/>
    <row r="5" spans="1:23" ht="16.5" customHeight="1">
      <c r="A5" s="177" t="s">
        <v>1</v>
      </c>
      <c r="B5" s="178"/>
      <c r="C5" s="178"/>
      <c r="D5" s="178"/>
      <c r="E5" s="178"/>
      <c r="F5" s="178"/>
      <c r="G5" s="76" t="s">
        <v>28</v>
      </c>
      <c r="H5" s="76" t="s">
        <v>29</v>
      </c>
      <c r="I5" s="76" t="s">
        <v>39</v>
      </c>
      <c r="J5" s="76" t="s">
        <v>31</v>
      </c>
      <c r="K5" s="76" t="s">
        <v>32</v>
      </c>
      <c r="L5" s="77" t="s">
        <v>5</v>
      </c>
      <c r="M5" s="77" t="s">
        <v>23</v>
      </c>
      <c r="N5" s="77" t="s">
        <v>24</v>
      </c>
      <c r="O5" s="77" t="s">
        <v>26</v>
      </c>
      <c r="P5" s="77" t="s">
        <v>27</v>
      </c>
      <c r="Q5" s="77" t="s">
        <v>36</v>
      </c>
      <c r="R5" s="77" t="s">
        <v>28</v>
      </c>
      <c r="S5" s="77" t="s">
        <v>29</v>
      </c>
      <c r="T5" s="77" t="s">
        <v>39</v>
      </c>
      <c r="U5" s="77" t="s">
        <v>31</v>
      </c>
      <c r="V5" s="77" t="s">
        <v>32</v>
      </c>
      <c r="W5" s="78" t="s">
        <v>33</v>
      </c>
    </row>
    <row r="6" spans="1:23" ht="9" customHeight="1"/>
    <row r="7" spans="1:23">
      <c r="A7" s="1" t="s">
        <v>17</v>
      </c>
      <c r="E7" s="1"/>
      <c r="G7" s="41" t="e">
        <v>#REF!</v>
      </c>
      <c r="H7" s="41" t="e">
        <v>#REF!</v>
      </c>
      <c r="I7" s="41" t="e">
        <v>#REF!</v>
      </c>
      <c r="J7" s="41" t="e">
        <v>#REF!</v>
      </c>
      <c r="K7" s="41" t="e">
        <v>#REF!</v>
      </c>
      <c r="L7" s="41">
        <v>4260722</v>
      </c>
      <c r="M7" s="41">
        <v>4164072</v>
      </c>
      <c r="N7" s="41">
        <v>4228597</v>
      </c>
      <c r="O7" s="41">
        <v>4259026</v>
      </c>
      <c r="P7" s="41">
        <v>4219730</v>
      </c>
      <c r="Q7" s="41">
        <v>4227107</v>
      </c>
      <c r="R7" s="41">
        <v>4223432</v>
      </c>
      <c r="S7" s="41">
        <v>4233641</v>
      </c>
      <c r="T7" s="41">
        <v>4338411</v>
      </c>
      <c r="U7" s="41">
        <v>4424081</v>
      </c>
      <c r="V7" s="41">
        <v>4424656</v>
      </c>
      <c r="W7" s="41">
        <v>4396639.6364500001</v>
      </c>
    </row>
    <row r="8" spans="1:23" ht="6" customHeight="1"/>
    <row r="9" spans="1:23">
      <c r="A9" s="1" t="s">
        <v>59</v>
      </c>
      <c r="B9" s="1"/>
      <c r="C9" s="1"/>
      <c r="D9" s="1"/>
      <c r="E9" s="1"/>
      <c r="F9" s="1"/>
      <c r="G9" s="13" t="e">
        <v>#REF!</v>
      </c>
      <c r="H9" s="13" t="e">
        <v>#REF!</v>
      </c>
      <c r="I9" s="13" t="e">
        <v>#REF!</v>
      </c>
      <c r="J9" s="13" t="e">
        <v>#REF!</v>
      </c>
      <c r="K9" s="13" t="e">
        <v>#REF!</v>
      </c>
      <c r="L9" s="13">
        <v>2394545</v>
      </c>
      <c r="M9" s="13">
        <v>2293619</v>
      </c>
      <c r="N9" s="13">
        <v>2386979</v>
      </c>
      <c r="O9" s="13">
        <v>2401731</v>
      </c>
      <c r="P9" s="13">
        <v>2402986</v>
      </c>
      <c r="Q9" s="13">
        <v>2376089</v>
      </c>
      <c r="R9" s="13">
        <v>2341021</v>
      </c>
      <c r="S9" s="13">
        <v>2309266</v>
      </c>
      <c r="T9" s="13">
        <v>2424202</v>
      </c>
      <c r="U9" s="13">
        <v>2448738</v>
      </c>
      <c r="V9" s="13">
        <v>2452359</v>
      </c>
      <c r="W9" s="13">
        <v>2470040.3200000003</v>
      </c>
    </row>
    <row r="10" spans="1:23">
      <c r="C10" s="2" t="s">
        <v>9</v>
      </c>
      <c r="G10" s="14" t="e">
        <v>#REF!</v>
      </c>
      <c r="H10" s="14" t="e">
        <v>#REF!</v>
      </c>
      <c r="I10" s="14" t="e">
        <v>#REF!</v>
      </c>
      <c r="J10" s="14" t="e">
        <v>#REF!</v>
      </c>
      <c r="K10" s="14" t="e">
        <v>#REF!</v>
      </c>
      <c r="L10" s="14">
        <v>2392251</v>
      </c>
      <c r="M10" s="14">
        <v>2291325</v>
      </c>
      <c r="N10" s="14">
        <v>2384685</v>
      </c>
      <c r="O10" s="14">
        <v>2399437</v>
      </c>
      <c r="P10" s="14">
        <v>2400692</v>
      </c>
      <c r="Q10" s="14">
        <v>2373795</v>
      </c>
      <c r="R10" s="14">
        <v>2338727</v>
      </c>
      <c r="S10" s="14">
        <v>2306972</v>
      </c>
      <c r="T10" s="14">
        <v>2421908</v>
      </c>
      <c r="U10" s="14">
        <v>2446444</v>
      </c>
      <c r="V10" s="14">
        <v>2450065</v>
      </c>
      <c r="W10" s="14">
        <v>2467746.1470000003</v>
      </c>
    </row>
    <row r="11" spans="1:23">
      <c r="D11" s="2" t="s">
        <v>88</v>
      </c>
      <c r="G11" s="14" t="e">
        <v>#REF!</v>
      </c>
      <c r="H11" s="14" t="e">
        <v>#REF!</v>
      </c>
      <c r="I11" s="14" t="e">
        <v>#REF!</v>
      </c>
      <c r="J11" s="14" t="e">
        <v>#REF!</v>
      </c>
      <c r="K11" s="14" t="e">
        <v>#REF!</v>
      </c>
      <c r="L11" s="15">
        <v>2378665</v>
      </c>
      <c r="M11" s="15">
        <v>2284510</v>
      </c>
      <c r="N11" s="15">
        <v>2377502</v>
      </c>
      <c r="O11" s="15">
        <v>2392443</v>
      </c>
      <c r="P11" s="15">
        <v>2393704</v>
      </c>
      <c r="Q11" s="15">
        <v>2366806</v>
      </c>
      <c r="R11" s="15">
        <v>2331708</v>
      </c>
      <c r="S11" s="15">
        <v>2299957</v>
      </c>
      <c r="T11" s="15">
        <v>2414911</v>
      </c>
      <c r="U11" s="15">
        <v>2439484</v>
      </c>
      <c r="V11" s="15">
        <v>2443108</v>
      </c>
      <c r="W11" s="15">
        <v>2460791.3450000002</v>
      </c>
    </row>
    <row r="12" spans="1:23">
      <c r="D12" s="2" t="s">
        <v>2</v>
      </c>
      <c r="L12" s="15">
        <v>13586</v>
      </c>
      <c r="M12" s="15">
        <v>6815</v>
      </c>
      <c r="N12" s="15">
        <v>7183</v>
      </c>
      <c r="O12" s="15">
        <v>6994</v>
      </c>
      <c r="P12" s="15">
        <v>6988</v>
      </c>
      <c r="Q12" s="15">
        <v>6989</v>
      </c>
      <c r="R12" s="15">
        <v>7019</v>
      </c>
      <c r="S12" s="15">
        <v>7015</v>
      </c>
      <c r="T12" s="15">
        <v>6997</v>
      </c>
      <c r="U12" s="15">
        <v>6960</v>
      </c>
      <c r="V12" s="15">
        <v>6957</v>
      </c>
      <c r="W12" s="15">
        <v>6954.8019999999997</v>
      </c>
    </row>
    <row r="13" spans="1:23">
      <c r="D13" s="2" t="s">
        <v>3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ht="6" customHeight="1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C15" s="2" t="s">
        <v>60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2294</v>
      </c>
      <c r="M15" s="14">
        <v>2294</v>
      </c>
      <c r="N15" s="14">
        <v>2294</v>
      </c>
      <c r="O15" s="14">
        <v>2294</v>
      </c>
      <c r="P15" s="14">
        <v>2294</v>
      </c>
      <c r="Q15" s="14">
        <v>2294</v>
      </c>
      <c r="R15" s="14">
        <v>2294</v>
      </c>
      <c r="S15" s="14">
        <v>2294</v>
      </c>
      <c r="T15" s="14">
        <v>2294</v>
      </c>
      <c r="U15" s="14">
        <v>2294</v>
      </c>
      <c r="V15" s="14">
        <v>2294</v>
      </c>
      <c r="W15" s="14">
        <v>2294.1729999999998</v>
      </c>
    </row>
    <row r="16" spans="1:23" hidden="1">
      <c r="D16" s="2" t="s">
        <v>12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>
      <c r="D17" s="2" t="s">
        <v>13</v>
      </c>
      <c r="L17" s="15">
        <v>2288</v>
      </c>
      <c r="M17" s="15">
        <v>2288</v>
      </c>
      <c r="N17" s="15">
        <v>2288</v>
      </c>
      <c r="O17" s="15">
        <v>2288</v>
      </c>
      <c r="P17" s="15">
        <v>2288</v>
      </c>
      <c r="Q17" s="15">
        <v>2288</v>
      </c>
      <c r="R17" s="15">
        <v>2288</v>
      </c>
      <c r="S17" s="15">
        <v>2288</v>
      </c>
      <c r="T17" s="15">
        <v>2288</v>
      </c>
      <c r="U17" s="15">
        <v>2288</v>
      </c>
      <c r="V17" s="15">
        <v>2288</v>
      </c>
      <c r="W17" s="15">
        <v>2287.866</v>
      </c>
    </row>
    <row r="18" spans="1:23" hidden="1">
      <c r="D18" s="2" t="s">
        <v>14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>
      <c r="D19" s="2" t="s">
        <v>15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  <c r="R19" s="15">
        <v>6</v>
      </c>
      <c r="S19" s="15">
        <v>6</v>
      </c>
      <c r="T19" s="15">
        <v>6</v>
      </c>
      <c r="U19" s="15">
        <v>6</v>
      </c>
      <c r="V19" s="15">
        <v>6</v>
      </c>
      <c r="W19" s="15">
        <v>6.3070000000000004</v>
      </c>
    </row>
    <row r="20" spans="1:23" ht="5.25" customHeight="1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" t="s">
        <v>125</v>
      </c>
      <c r="B21" s="1"/>
      <c r="C21" s="1"/>
      <c r="D21" s="1"/>
      <c r="E21" s="1"/>
      <c r="F21" s="1"/>
      <c r="G21" s="13" t="e">
        <v>#REF!</v>
      </c>
      <c r="H21" s="13" t="e">
        <v>#REF!</v>
      </c>
      <c r="I21" s="13" t="e">
        <v>#REF!</v>
      </c>
      <c r="J21" s="13" t="e">
        <v>#REF!</v>
      </c>
      <c r="K21" s="13" t="e">
        <v>#REF!</v>
      </c>
      <c r="L21" s="13">
        <v>1866177</v>
      </c>
      <c r="M21" s="13">
        <v>1870453</v>
      </c>
      <c r="N21" s="13">
        <v>1841618</v>
      </c>
      <c r="O21" s="13">
        <v>1857295</v>
      </c>
      <c r="P21" s="13">
        <v>1816744</v>
      </c>
      <c r="Q21" s="13">
        <v>1851018</v>
      </c>
      <c r="R21" s="13">
        <v>1882411</v>
      </c>
      <c r="S21" s="13">
        <v>1924375</v>
      </c>
      <c r="T21" s="13">
        <v>1914209</v>
      </c>
      <c r="U21" s="13">
        <v>1975343</v>
      </c>
      <c r="V21" s="13">
        <v>1972297</v>
      </c>
      <c r="W21" s="13">
        <v>1926599.3164499998</v>
      </c>
    </row>
    <row r="22" spans="1:23">
      <c r="C22" s="2" t="s">
        <v>9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791788</v>
      </c>
      <c r="M22" s="14">
        <v>772285</v>
      </c>
      <c r="N22" s="14">
        <v>783663</v>
      </c>
      <c r="O22" s="14">
        <v>794677</v>
      </c>
      <c r="P22" s="14">
        <v>777459</v>
      </c>
      <c r="Q22" s="14">
        <v>792179</v>
      </c>
      <c r="R22" s="14">
        <v>791844</v>
      </c>
      <c r="S22" s="14">
        <v>813502</v>
      </c>
      <c r="T22" s="14">
        <v>830672</v>
      </c>
      <c r="U22" s="14">
        <v>839658</v>
      </c>
      <c r="V22" s="14">
        <v>856791</v>
      </c>
      <c r="W22" s="14">
        <v>826671.17599999998</v>
      </c>
    </row>
    <row r="23" spans="1:23">
      <c r="D23" s="2" t="s">
        <v>2</v>
      </c>
      <c r="L23" s="15">
        <v>719243</v>
      </c>
      <c r="M23" s="15">
        <v>703614</v>
      </c>
      <c r="N23" s="15">
        <v>714528</v>
      </c>
      <c r="O23" s="15">
        <v>725511</v>
      </c>
      <c r="P23" s="15">
        <v>709581</v>
      </c>
      <c r="Q23" s="15">
        <v>723157</v>
      </c>
      <c r="R23" s="15">
        <v>723053</v>
      </c>
      <c r="S23" s="15">
        <v>742502</v>
      </c>
      <c r="T23" s="15">
        <v>759908</v>
      </c>
      <c r="U23" s="15">
        <v>769480</v>
      </c>
      <c r="V23" s="15">
        <v>784873</v>
      </c>
      <c r="W23" s="15">
        <v>759565.20900000003</v>
      </c>
    </row>
    <row r="24" spans="1:23">
      <c r="D24" s="2" t="s">
        <v>3</v>
      </c>
      <c r="L24" s="15">
        <v>72545</v>
      </c>
      <c r="M24" s="15">
        <v>68671</v>
      </c>
      <c r="N24" s="15">
        <v>69135</v>
      </c>
      <c r="O24" s="15">
        <v>69166</v>
      </c>
      <c r="P24" s="15">
        <v>67878</v>
      </c>
      <c r="Q24" s="15">
        <v>69022</v>
      </c>
      <c r="R24" s="15">
        <v>68791</v>
      </c>
      <c r="S24" s="15">
        <v>71000</v>
      </c>
      <c r="T24" s="15">
        <v>70764</v>
      </c>
      <c r="U24" s="15">
        <v>70178</v>
      </c>
      <c r="V24" s="15">
        <v>71918</v>
      </c>
      <c r="W24" s="15">
        <v>67105.967000000004</v>
      </c>
    </row>
    <row r="25" spans="1:23" ht="6" customHeight="1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C26" s="2" t="s">
        <v>60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53</v>
      </c>
      <c r="M26" s="14">
        <v>54</v>
      </c>
      <c r="N26" s="14">
        <v>55</v>
      </c>
      <c r="O26" s="14">
        <v>55</v>
      </c>
      <c r="P26" s="14">
        <v>55</v>
      </c>
      <c r="Q26" s="14">
        <v>56</v>
      </c>
      <c r="R26" s="14">
        <v>50</v>
      </c>
      <c r="S26" s="14">
        <v>51</v>
      </c>
      <c r="T26" s="14">
        <v>50</v>
      </c>
      <c r="U26" s="14">
        <v>50</v>
      </c>
      <c r="V26" s="14">
        <v>49</v>
      </c>
      <c r="W26" s="14">
        <v>43.893450000000001</v>
      </c>
    </row>
    <row r="27" spans="1:23" hidden="1">
      <c r="D27" s="2" t="s">
        <v>61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</row>
    <row r="28" spans="1:23">
      <c r="D28" s="2" t="s">
        <v>62</v>
      </c>
      <c r="L28" s="15">
        <v>12</v>
      </c>
      <c r="M28" s="15">
        <v>13</v>
      </c>
      <c r="N28" s="15">
        <v>13</v>
      </c>
      <c r="O28" s="15">
        <v>13</v>
      </c>
      <c r="P28" s="15">
        <v>13</v>
      </c>
      <c r="Q28" s="15">
        <v>13</v>
      </c>
      <c r="R28" s="15">
        <v>11</v>
      </c>
      <c r="S28" s="15">
        <v>11</v>
      </c>
      <c r="T28" s="15">
        <v>11</v>
      </c>
      <c r="U28" s="15">
        <v>11</v>
      </c>
      <c r="V28" s="15">
        <v>10</v>
      </c>
      <c r="W28" s="15">
        <v>10.197000000000001</v>
      </c>
    </row>
    <row r="29" spans="1:23" hidden="1">
      <c r="D29" s="2" t="s">
        <v>63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</row>
    <row r="30" spans="1:23">
      <c r="D30" s="2" t="s">
        <v>64</v>
      </c>
      <c r="L30" s="15">
        <v>41</v>
      </c>
      <c r="M30" s="15">
        <v>41</v>
      </c>
      <c r="N30" s="15">
        <v>42</v>
      </c>
      <c r="O30" s="15">
        <v>42</v>
      </c>
      <c r="P30" s="15">
        <v>42</v>
      </c>
      <c r="Q30" s="15">
        <v>43</v>
      </c>
      <c r="R30" s="15">
        <v>39</v>
      </c>
      <c r="S30" s="15">
        <v>40</v>
      </c>
      <c r="T30" s="15">
        <v>39</v>
      </c>
      <c r="U30" s="15">
        <v>39</v>
      </c>
      <c r="V30" s="15">
        <v>39</v>
      </c>
      <c r="W30" s="15">
        <v>33.696449999999999</v>
      </c>
    </row>
    <row r="31" spans="1:23" hidden="1">
      <c r="D31" s="2" t="s">
        <v>65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</row>
    <row r="32" spans="1:23" ht="7.5" customHeight="1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C33" s="2" t="s">
        <v>66</v>
      </c>
      <c r="L33" s="15">
        <v>1074336</v>
      </c>
      <c r="M33" s="15">
        <v>1098114</v>
      </c>
      <c r="N33" s="15">
        <v>1057900</v>
      </c>
      <c r="O33" s="15">
        <v>1062563</v>
      </c>
      <c r="P33" s="15">
        <v>1039230</v>
      </c>
      <c r="Q33" s="15">
        <v>1058783</v>
      </c>
      <c r="R33" s="15">
        <v>1090517</v>
      </c>
      <c r="S33" s="15">
        <v>1110822</v>
      </c>
      <c r="T33" s="15">
        <v>1083487</v>
      </c>
      <c r="U33" s="15">
        <v>1135635</v>
      </c>
      <c r="V33" s="15">
        <v>1115457</v>
      </c>
      <c r="W33" s="15">
        <v>1099884.247</v>
      </c>
    </row>
    <row r="34" spans="1:23" ht="7.5" customHeight="1"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7.5" customHeight="1">
      <c r="A35" s="9"/>
      <c r="B35" s="9"/>
      <c r="C35" s="9"/>
      <c r="D35" s="9"/>
      <c r="E35" s="9"/>
      <c r="F35" s="9"/>
    </row>
    <row r="36" spans="1:23">
      <c r="A36" s="2" t="s">
        <v>67</v>
      </c>
    </row>
    <row r="37" spans="1:23">
      <c r="A37" s="1"/>
    </row>
    <row r="38" spans="1:23">
      <c r="A38" s="79" t="s">
        <v>8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>
        <v>47.2</v>
      </c>
      <c r="M38" s="79">
        <v>48.4</v>
      </c>
      <c r="N38" s="79">
        <v>48.5</v>
      </c>
      <c r="O38" s="79">
        <v>48.7</v>
      </c>
      <c r="P38" s="79">
        <v>47.45</v>
      </c>
      <c r="Q38" s="79">
        <v>48.3</v>
      </c>
      <c r="R38" s="79">
        <v>48.1</v>
      </c>
      <c r="S38" s="79">
        <v>48.9</v>
      </c>
      <c r="T38" s="79">
        <v>47.6</v>
      </c>
      <c r="U38" s="79">
        <v>47.75</v>
      </c>
      <c r="V38" s="79">
        <v>46.8</v>
      </c>
      <c r="W38" s="79">
        <v>46.35</v>
      </c>
    </row>
    <row r="39" spans="1:23" ht="7.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</row>
    <row r="40" spans="1:23" ht="9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</row>
    <row r="41" spans="1:23">
      <c r="A41" s="11" t="s">
        <v>22</v>
      </c>
      <c r="G41" s="2"/>
      <c r="H41" s="2"/>
      <c r="I41" s="2"/>
      <c r="J41" s="2"/>
      <c r="K41" s="2"/>
    </row>
    <row r="42" spans="1:23">
      <c r="A42" s="11" t="s">
        <v>68</v>
      </c>
      <c r="G42" s="2"/>
      <c r="H42" s="2"/>
      <c r="I42" s="2"/>
      <c r="J42" s="2"/>
      <c r="K42" s="2"/>
    </row>
    <row r="43" spans="1:23">
      <c r="A43" s="48" t="s">
        <v>128</v>
      </c>
      <c r="G43" s="2"/>
      <c r="H43" s="2"/>
      <c r="I43" s="2"/>
      <c r="J43" s="2"/>
      <c r="K43" s="2"/>
    </row>
    <row r="44" spans="1:2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</row>
    <row r="45" spans="1:23">
      <c r="A45" s="11"/>
      <c r="F45" s="11"/>
    </row>
    <row r="46" spans="1:23">
      <c r="F46" s="11"/>
    </row>
    <row r="47" spans="1:23">
      <c r="A47" s="11" t="s">
        <v>35</v>
      </c>
      <c r="F47" s="11"/>
    </row>
    <row r="48" spans="1:23">
      <c r="F48" s="11"/>
    </row>
    <row r="55" spans="12:12">
      <c r="L55" s="79"/>
    </row>
    <row r="56" spans="12:12">
      <c r="L56" s="11"/>
    </row>
    <row r="57" spans="12:12">
      <c r="L57" s="11"/>
    </row>
    <row r="58" spans="12:12">
      <c r="L58" s="11"/>
    </row>
    <row r="59" spans="12:12">
      <c r="L59" s="15"/>
    </row>
  </sheetData>
  <mergeCells count="1">
    <mergeCell ref="A5:F5"/>
  </mergeCells>
  <pageMargins left="0.51181102362204722" right="0" top="0.74803149606299213" bottom="0" header="0" footer="0"/>
  <pageSetup scale="6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304E-20D8-46F1-87FE-7487D166454D}">
  <sheetPr>
    <pageSetUpPr fitToPage="1"/>
  </sheetPr>
  <dimension ref="A1:R49"/>
  <sheetViews>
    <sheetView topLeftCell="A4" workbookViewId="0">
      <selection activeCell="G12" sqref="G12"/>
    </sheetView>
  </sheetViews>
  <sheetFormatPr defaultRowHeight="12.75"/>
  <cols>
    <col min="1" max="2" width="1.7109375" style="98" customWidth="1"/>
    <col min="3" max="3" width="2" style="98" customWidth="1"/>
    <col min="4" max="4" width="1.85546875" style="98" customWidth="1"/>
    <col min="5" max="5" width="1.7109375" style="98" customWidth="1"/>
    <col min="6" max="6" width="18.85546875" style="98" customWidth="1"/>
    <col min="7" max="18" width="9.140625" style="98" customWidth="1"/>
    <col min="19" max="256" width="9.140625" style="98"/>
    <col min="257" max="258" width="1.7109375" style="98" customWidth="1"/>
    <col min="259" max="259" width="2" style="98" customWidth="1"/>
    <col min="260" max="260" width="1.85546875" style="98" customWidth="1"/>
    <col min="261" max="261" width="1.7109375" style="98" customWidth="1"/>
    <col min="262" max="262" width="18.85546875" style="98" customWidth="1"/>
    <col min="263" max="274" width="9.140625" style="98" customWidth="1"/>
    <col min="275" max="512" width="9.140625" style="98"/>
    <col min="513" max="514" width="1.7109375" style="98" customWidth="1"/>
    <col min="515" max="515" width="2" style="98" customWidth="1"/>
    <col min="516" max="516" width="1.85546875" style="98" customWidth="1"/>
    <col min="517" max="517" width="1.7109375" style="98" customWidth="1"/>
    <col min="518" max="518" width="18.85546875" style="98" customWidth="1"/>
    <col min="519" max="530" width="9.140625" style="98" customWidth="1"/>
    <col min="531" max="768" width="9.140625" style="98"/>
    <col min="769" max="770" width="1.7109375" style="98" customWidth="1"/>
    <col min="771" max="771" width="2" style="98" customWidth="1"/>
    <col min="772" max="772" width="1.85546875" style="98" customWidth="1"/>
    <col min="773" max="773" width="1.7109375" style="98" customWidth="1"/>
    <col min="774" max="774" width="18.85546875" style="98" customWidth="1"/>
    <col min="775" max="786" width="9.140625" style="98" customWidth="1"/>
    <col min="787" max="1024" width="9.140625" style="98"/>
    <col min="1025" max="1026" width="1.7109375" style="98" customWidth="1"/>
    <col min="1027" max="1027" width="2" style="98" customWidth="1"/>
    <col min="1028" max="1028" width="1.85546875" style="98" customWidth="1"/>
    <col min="1029" max="1029" width="1.7109375" style="98" customWidth="1"/>
    <col min="1030" max="1030" width="18.85546875" style="98" customWidth="1"/>
    <col min="1031" max="1042" width="9.140625" style="98" customWidth="1"/>
    <col min="1043" max="1280" width="9.140625" style="98"/>
    <col min="1281" max="1282" width="1.7109375" style="98" customWidth="1"/>
    <col min="1283" max="1283" width="2" style="98" customWidth="1"/>
    <col min="1284" max="1284" width="1.85546875" style="98" customWidth="1"/>
    <col min="1285" max="1285" width="1.7109375" style="98" customWidth="1"/>
    <col min="1286" max="1286" width="18.85546875" style="98" customWidth="1"/>
    <col min="1287" max="1298" width="9.140625" style="98" customWidth="1"/>
    <col min="1299" max="1536" width="9.140625" style="98"/>
    <col min="1537" max="1538" width="1.7109375" style="98" customWidth="1"/>
    <col min="1539" max="1539" width="2" style="98" customWidth="1"/>
    <col min="1540" max="1540" width="1.85546875" style="98" customWidth="1"/>
    <col min="1541" max="1541" width="1.7109375" style="98" customWidth="1"/>
    <col min="1542" max="1542" width="18.85546875" style="98" customWidth="1"/>
    <col min="1543" max="1554" width="9.140625" style="98" customWidth="1"/>
    <col min="1555" max="1792" width="9.140625" style="98"/>
    <col min="1793" max="1794" width="1.7109375" style="98" customWidth="1"/>
    <col min="1795" max="1795" width="2" style="98" customWidth="1"/>
    <col min="1796" max="1796" width="1.85546875" style="98" customWidth="1"/>
    <col min="1797" max="1797" width="1.7109375" style="98" customWidth="1"/>
    <col min="1798" max="1798" width="18.85546875" style="98" customWidth="1"/>
    <col min="1799" max="1810" width="9.140625" style="98" customWidth="1"/>
    <col min="1811" max="2048" width="9.140625" style="98"/>
    <col min="2049" max="2050" width="1.7109375" style="98" customWidth="1"/>
    <col min="2051" max="2051" width="2" style="98" customWidth="1"/>
    <col min="2052" max="2052" width="1.85546875" style="98" customWidth="1"/>
    <col min="2053" max="2053" width="1.7109375" style="98" customWidth="1"/>
    <col min="2054" max="2054" width="18.85546875" style="98" customWidth="1"/>
    <col min="2055" max="2066" width="9.140625" style="98" customWidth="1"/>
    <col min="2067" max="2304" width="9.140625" style="98"/>
    <col min="2305" max="2306" width="1.7109375" style="98" customWidth="1"/>
    <col min="2307" max="2307" width="2" style="98" customWidth="1"/>
    <col min="2308" max="2308" width="1.85546875" style="98" customWidth="1"/>
    <col min="2309" max="2309" width="1.7109375" style="98" customWidth="1"/>
    <col min="2310" max="2310" width="18.85546875" style="98" customWidth="1"/>
    <col min="2311" max="2322" width="9.140625" style="98" customWidth="1"/>
    <col min="2323" max="2560" width="9.140625" style="98"/>
    <col min="2561" max="2562" width="1.7109375" style="98" customWidth="1"/>
    <col min="2563" max="2563" width="2" style="98" customWidth="1"/>
    <col min="2564" max="2564" width="1.85546875" style="98" customWidth="1"/>
    <col min="2565" max="2565" width="1.7109375" style="98" customWidth="1"/>
    <col min="2566" max="2566" width="18.85546875" style="98" customWidth="1"/>
    <col min="2567" max="2578" width="9.140625" style="98" customWidth="1"/>
    <col min="2579" max="2816" width="9.140625" style="98"/>
    <col min="2817" max="2818" width="1.7109375" style="98" customWidth="1"/>
    <col min="2819" max="2819" width="2" style="98" customWidth="1"/>
    <col min="2820" max="2820" width="1.85546875" style="98" customWidth="1"/>
    <col min="2821" max="2821" width="1.7109375" style="98" customWidth="1"/>
    <col min="2822" max="2822" width="18.85546875" style="98" customWidth="1"/>
    <col min="2823" max="2834" width="9.140625" style="98" customWidth="1"/>
    <col min="2835" max="3072" width="9.140625" style="98"/>
    <col min="3073" max="3074" width="1.7109375" style="98" customWidth="1"/>
    <col min="3075" max="3075" width="2" style="98" customWidth="1"/>
    <col min="3076" max="3076" width="1.85546875" style="98" customWidth="1"/>
    <col min="3077" max="3077" width="1.7109375" style="98" customWidth="1"/>
    <col min="3078" max="3078" width="18.85546875" style="98" customWidth="1"/>
    <col min="3079" max="3090" width="9.140625" style="98" customWidth="1"/>
    <col min="3091" max="3328" width="9.140625" style="98"/>
    <col min="3329" max="3330" width="1.7109375" style="98" customWidth="1"/>
    <col min="3331" max="3331" width="2" style="98" customWidth="1"/>
    <col min="3332" max="3332" width="1.85546875" style="98" customWidth="1"/>
    <col min="3333" max="3333" width="1.7109375" style="98" customWidth="1"/>
    <col min="3334" max="3334" width="18.85546875" style="98" customWidth="1"/>
    <col min="3335" max="3346" width="9.140625" style="98" customWidth="1"/>
    <col min="3347" max="3584" width="9.140625" style="98"/>
    <col min="3585" max="3586" width="1.7109375" style="98" customWidth="1"/>
    <col min="3587" max="3587" width="2" style="98" customWidth="1"/>
    <col min="3588" max="3588" width="1.85546875" style="98" customWidth="1"/>
    <col min="3589" max="3589" width="1.7109375" style="98" customWidth="1"/>
    <col min="3590" max="3590" width="18.85546875" style="98" customWidth="1"/>
    <col min="3591" max="3602" width="9.140625" style="98" customWidth="1"/>
    <col min="3603" max="3840" width="9.140625" style="98"/>
    <col min="3841" max="3842" width="1.7109375" style="98" customWidth="1"/>
    <col min="3843" max="3843" width="2" style="98" customWidth="1"/>
    <col min="3844" max="3844" width="1.85546875" style="98" customWidth="1"/>
    <col min="3845" max="3845" width="1.7109375" style="98" customWidth="1"/>
    <col min="3846" max="3846" width="18.85546875" style="98" customWidth="1"/>
    <col min="3847" max="3858" width="9.140625" style="98" customWidth="1"/>
    <col min="3859" max="4096" width="9.140625" style="98"/>
    <col min="4097" max="4098" width="1.7109375" style="98" customWidth="1"/>
    <col min="4099" max="4099" width="2" style="98" customWidth="1"/>
    <col min="4100" max="4100" width="1.85546875" style="98" customWidth="1"/>
    <col min="4101" max="4101" width="1.7109375" style="98" customWidth="1"/>
    <col min="4102" max="4102" width="18.85546875" style="98" customWidth="1"/>
    <col min="4103" max="4114" width="9.140625" style="98" customWidth="1"/>
    <col min="4115" max="4352" width="9.140625" style="98"/>
    <col min="4353" max="4354" width="1.7109375" style="98" customWidth="1"/>
    <col min="4355" max="4355" width="2" style="98" customWidth="1"/>
    <col min="4356" max="4356" width="1.85546875" style="98" customWidth="1"/>
    <col min="4357" max="4357" width="1.7109375" style="98" customWidth="1"/>
    <col min="4358" max="4358" width="18.85546875" style="98" customWidth="1"/>
    <col min="4359" max="4370" width="9.140625" style="98" customWidth="1"/>
    <col min="4371" max="4608" width="9.140625" style="98"/>
    <col min="4609" max="4610" width="1.7109375" style="98" customWidth="1"/>
    <col min="4611" max="4611" width="2" style="98" customWidth="1"/>
    <col min="4612" max="4612" width="1.85546875" style="98" customWidth="1"/>
    <col min="4613" max="4613" width="1.7109375" style="98" customWidth="1"/>
    <col min="4614" max="4614" width="18.85546875" style="98" customWidth="1"/>
    <col min="4615" max="4626" width="9.140625" style="98" customWidth="1"/>
    <col min="4627" max="4864" width="9.140625" style="98"/>
    <col min="4865" max="4866" width="1.7109375" style="98" customWidth="1"/>
    <col min="4867" max="4867" width="2" style="98" customWidth="1"/>
    <col min="4868" max="4868" width="1.85546875" style="98" customWidth="1"/>
    <col min="4869" max="4869" width="1.7109375" style="98" customWidth="1"/>
    <col min="4870" max="4870" width="18.85546875" style="98" customWidth="1"/>
    <col min="4871" max="4882" width="9.140625" style="98" customWidth="1"/>
    <col min="4883" max="5120" width="9.140625" style="98"/>
    <col min="5121" max="5122" width="1.7109375" style="98" customWidth="1"/>
    <col min="5123" max="5123" width="2" style="98" customWidth="1"/>
    <col min="5124" max="5124" width="1.85546875" style="98" customWidth="1"/>
    <col min="5125" max="5125" width="1.7109375" style="98" customWidth="1"/>
    <col min="5126" max="5126" width="18.85546875" style="98" customWidth="1"/>
    <col min="5127" max="5138" width="9.140625" style="98" customWidth="1"/>
    <col min="5139" max="5376" width="9.140625" style="98"/>
    <col min="5377" max="5378" width="1.7109375" style="98" customWidth="1"/>
    <col min="5379" max="5379" width="2" style="98" customWidth="1"/>
    <col min="5380" max="5380" width="1.85546875" style="98" customWidth="1"/>
    <col min="5381" max="5381" width="1.7109375" style="98" customWidth="1"/>
    <col min="5382" max="5382" width="18.85546875" style="98" customWidth="1"/>
    <col min="5383" max="5394" width="9.140625" style="98" customWidth="1"/>
    <col min="5395" max="5632" width="9.140625" style="98"/>
    <col min="5633" max="5634" width="1.7109375" style="98" customWidth="1"/>
    <col min="5635" max="5635" width="2" style="98" customWidth="1"/>
    <col min="5636" max="5636" width="1.85546875" style="98" customWidth="1"/>
    <col min="5637" max="5637" width="1.7109375" style="98" customWidth="1"/>
    <col min="5638" max="5638" width="18.85546875" style="98" customWidth="1"/>
    <col min="5639" max="5650" width="9.140625" style="98" customWidth="1"/>
    <col min="5651" max="5888" width="9.140625" style="98"/>
    <col min="5889" max="5890" width="1.7109375" style="98" customWidth="1"/>
    <col min="5891" max="5891" width="2" style="98" customWidth="1"/>
    <col min="5892" max="5892" width="1.85546875" style="98" customWidth="1"/>
    <col min="5893" max="5893" width="1.7109375" style="98" customWidth="1"/>
    <col min="5894" max="5894" width="18.85546875" style="98" customWidth="1"/>
    <col min="5895" max="5906" width="9.140625" style="98" customWidth="1"/>
    <col min="5907" max="6144" width="9.140625" style="98"/>
    <col min="6145" max="6146" width="1.7109375" style="98" customWidth="1"/>
    <col min="6147" max="6147" width="2" style="98" customWidth="1"/>
    <col min="6148" max="6148" width="1.85546875" style="98" customWidth="1"/>
    <col min="6149" max="6149" width="1.7109375" style="98" customWidth="1"/>
    <col min="6150" max="6150" width="18.85546875" style="98" customWidth="1"/>
    <col min="6151" max="6162" width="9.140625" style="98" customWidth="1"/>
    <col min="6163" max="6400" width="9.140625" style="98"/>
    <col min="6401" max="6402" width="1.7109375" style="98" customWidth="1"/>
    <col min="6403" max="6403" width="2" style="98" customWidth="1"/>
    <col min="6404" max="6404" width="1.85546875" style="98" customWidth="1"/>
    <col min="6405" max="6405" width="1.7109375" style="98" customWidth="1"/>
    <col min="6406" max="6406" width="18.85546875" style="98" customWidth="1"/>
    <col min="6407" max="6418" width="9.140625" style="98" customWidth="1"/>
    <col min="6419" max="6656" width="9.140625" style="98"/>
    <col min="6657" max="6658" width="1.7109375" style="98" customWidth="1"/>
    <col min="6659" max="6659" width="2" style="98" customWidth="1"/>
    <col min="6660" max="6660" width="1.85546875" style="98" customWidth="1"/>
    <col min="6661" max="6661" width="1.7109375" style="98" customWidth="1"/>
    <col min="6662" max="6662" width="18.85546875" style="98" customWidth="1"/>
    <col min="6663" max="6674" width="9.140625" style="98" customWidth="1"/>
    <col min="6675" max="6912" width="9.140625" style="98"/>
    <col min="6913" max="6914" width="1.7109375" style="98" customWidth="1"/>
    <col min="6915" max="6915" width="2" style="98" customWidth="1"/>
    <col min="6916" max="6916" width="1.85546875" style="98" customWidth="1"/>
    <col min="6917" max="6917" width="1.7109375" style="98" customWidth="1"/>
    <col min="6918" max="6918" width="18.85546875" style="98" customWidth="1"/>
    <col min="6919" max="6930" width="9.140625" style="98" customWidth="1"/>
    <col min="6931" max="7168" width="9.140625" style="98"/>
    <col min="7169" max="7170" width="1.7109375" style="98" customWidth="1"/>
    <col min="7171" max="7171" width="2" style="98" customWidth="1"/>
    <col min="7172" max="7172" width="1.85546875" style="98" customWidth="1"/>
    <col min="7173" max="7173" width="1.7109375" style="98" customWidth="1"/>
    <col min="7174" max="7174" width="18.85546875" style="98" customWidth="1"/>
    <col min="7175" max="7186" width="9.140625" style="98" customWidth="1"/>
    <col min="7187" max="7424" width="9.140625" style="98"/>
    <col min="7425" max="7426" width="1.7109375" style="98" customWidth="1"/>
    <col min="7427" max="7427" width="2" style="98" customWidth="1"/>
    <col min="7428" max="7428" width="1.85546875" style="98" customWidth="1"/>
    <col min="7429" max="7429" width="1.7109375" style="98" customWidth="1"/>
    <col min="7430" max="7430" width="18.85546875" style="98" customWidth="1"/>
    <col min="7431" max="7442" width="9.140625" style="98" customWidth="1"/>
    <col min="7443" max="7680" width="9.140625" style="98"/>
    <col min="7681" max="7682" width="1.7109375" style="98" customWidth="1"/>
    <col min="7683" max="7683" width="2" style="98" customWidth="1"/>
    <col min="7684" max="7684" width="1.85546875" style="98" customWidth="1"/>
    <col min="7685" max="7685" width="1.7109375" style="98" customWidth="1"/>
    <col min="7686" max="7686" width="18.85546875" style="98" customWidth="1"/>
    <col min="7687" max="7698" width="9.140625" style="98" customWidth="1"/>
    <col min="7699" max="7936" width="9.140625" style="98"/>
    <col min="7937" max="7938" width="1.7109375" style="98" customWidth="1"/>
    <col min="7939" max="7939" width="2" style="98" customWidth="1"/>
    <col min="7940" max="7940" width="1.85546875" style="98" customWidth="1"/>
    <col min="7941" max="7941" width="1.7109375" style="98" customWidth="1"/>
    <col min="7942" max="7942" width="18.85546875" style="98" customWidth="1"/>
    <col min="7943" max="7954" width="9.140625" style="98" customWidth="1"/>
    <col min="7955" max="8192" width="9.140625" style="98"/>
    <col min="8193" max="8194" width="1.7109375" style="98" customWidth="1"/>
    <col min="8195" max="8195" width="2" style="98" customWidth="1"/>
    <col min="8196" max="8196" width="1.85546875" style="98" customWidth="1"/>
    <col min="8197" max="8197" width="1.7109375" style="98" customWidth="1"/>
    <col min="8198" max="8198" width="18.85546875" style="98" customWidth="1"/>
    <col min="8199" max="8210" width="9.140625" style="98" customWidth="1"/>
    <col min="8211" max="8448" width="9.140625" style="98"/>
    <col min="8449" max="8450" width="1.7109375" style="98" customWidth="1"/>
    <col min="8451" max="8451" width="2" style="98" customWidth="1"/>
    <col min="8452" max="8452" width="1.85546875" style="98" customWidth="1"/>
    <col min="8453" max="8453" width="1.7109375" style="98" customWidth="1"/>
    <col min="8454" max="8454" width="18.85546875" style="98" customWidth="1"/>
    <col min="8455" max="8466" width="9.140625" style="98" customWidth="1"/>
    <col min="8467" max="8704" width="9.140625" style="98"/>
    <col min="8705" max="8706" width="1.7109375" style="98" customWidth="1"/>
    <col min="8707" max="8707" width="2" style="98" customWidth="1"/>
    <col min="8708" max="8708" width="1.85546875" style="98" customWidth="1"/>
    <col min="8709" max="8709" width="1.7109375" style="98" customWidth="1"/>
    <col min="8710" max="8710" width="18.85546875" style="98" customWidth="1"/>
    <col min="8711" max="8722" width="9.140625" style="98" customWidth="1"/>
    <col min="8723" max="8960" width="9.140625" style="98"/>
    <col min="8961" max="8962" width="1.7109375" style="98" customWidth="1"/>
    <col min="8963" max="8963" width="2" style="98" customWidth="1"/>
    <col min="8964" max="8964" width="1.85546875" style="98" customWidth="1"/>
    <col min="8965" max="8965" width="1.7109375" style="98" customWidth="1"/>
    <col min="8966" max="8966" width="18.85546875" style="98" customWidth="1"/>
    <col min="8967" max="8978" width="9.140625" style="98" customWidth="1"/>
    <col min="8979" max="9216" width="9.140625" style="98"/>
    <col min="9217" max="9218" width="1.7109375" style="98" customWidth="1"/>
    <col min="9219" max="9219" width="2" style="98" customWidth="1"/>
    <col min="9220" max="9220" width="1.85546875" style="98" customWidth="1"/>
    <col min="9221" max="9221" width="1.7109375" style="98" customWidth="1"/>
    <col min="9222" max="9222" width="18.85546875" style="98" customWidth="1"/>
    <col min="9223" max="9234" width="9.140625" style="98" customWidth="1"/>
    <col min="9235" max="9472" width="9.140625" style="98"/>
    <col min="9473" max="9474" width="1.7109375" style="98" customWidth="1"/>
    <col min="9475" max="9475" width="2" style="98" customWidth="1"/>
    <col min="9476" max="9476" width="1.85546875" style="98" customWidth="1"/>
    <col min="9477" max="9477" width="1.7109375" style="98" customWidth="1"/>
    <col min="9478" max="9478" width="18.85546875" style="98" customWidth="1"/>
    <col min="9479" max="9490" width="9.140625" style="98" customWidth="1"/>
    <col min="9491" max="9728" width="9.140625" style="98"/>
    <col min="9729" max="9730" width="1.7109375" style="98" customWidth="1"/>
    <col min="9731" max="9731" width="2" style="98" customWidth="1"/>
    <col min="9732" max="9732" width="1.85546875" style="98" customWidth="1"/>
    <col min="9733" max="9733" width="1.7109375" style="98" customWidth="1"/>
    <col min="9734" max="9734" width="18.85546875" style="98" customWidth="1"/>
    <col min="9735" max="9746" width="9.140625" style="98" customWidth="1"/>
    <col min="9747" max="9984" width="9.140625" style="98"/>
    <col min="9985" max="9986" width="1.7109375" style="98" customWidth="1"/>
    <col min="9987" max="9987" width="2" style="98" customWidth="1"/>
    <col min="9988" max="9988" width="1.85546875" style="98" customWidth="1"/>
    <col min="9989" max="9989" width="1.7109375" style="98" customWidth="1"/>
    <col min="9990" max="9990" width="18.85546875" style="98" customWidth="1"/>
    <col min="9991" max="10002" width="9.140625" style="98" customWidth="1"/>
    <col min="10003" max="10240" width="9.140625" style="98"/>
    <col min="10241" max="10242" width="1.7109375" style="98" customWidth="1"/>
    <col min="10243" max="10243" width="2" style="98" customWidth="1"/>
    <col min="10244" max="10244" width="1.85546875" style="98" customWidth="1"/>
    <col min="10245" max="10245" width="1.7109375" style="98" customWidth="1"/>
    <col min="10246" max="10246" width="18.85546875" style="98" customWidth="1"/>
    <col min="10247" max="10258" width="9.140625" style="98" customWidth="1"/>
    <col min="10259" max="10496" width="9.140625" style="98"/>
    <col min="10497" max="10498" width="1.7109375" style="98" customWidth="1"/>
    <col min="10499" max="10499" width="2" style="98" customWidth="1"/>
    <col min="10500" max="10500" width="1.85546875" style="98" customWidth="1"/>
    <col min="10501" max="10501" width="1.7109375" style="98" customWidth="1"/>
    <col min="10502" max="10502" width="18.85546875" style="98" customWidth="1"/>
    <col min="10503" max="10514" width="9.140625" style="98" customWidth="1"/>
    <col min="10515" max="10752" width="9.140625" style="98"/>
    <col min="10753" max="10754" width="1.7109375" style="98" customWidth="1"/>
    <col min="10755" max="10755" width="2" style="98" customWidth="1"/>
    <col min="10756" max="10756" width="1.85546875" style="98" customWidth="1"/>
    <col min="10757" max="10757" width="1.7109375" style="98" customWidth="1"/>
    <col min="10758" max="10758" width="18.85546875" style="98" customWidth="1"/>
    <col min="10759" max="10770" width="9.140625" style="98" customWidth="1"/>
    <col min="10771" max="11008" width="9.140625" style="98"/>
    <col min="11009" max="11010" width="1.7109375" style="98" customWidth="1"/>
    <col min="11011" max="11011" width="2" style="98" customWidth="1"/>
    <col min="11012" max="11012" width="1.85546875" style="98" customWidth="1"/>
    <col min="11013" max="11013" width="1.7109375" style="98" customWidth="1"/>
    <col min="11014" max="11014" width="18.85546875" style="98" customWidth="1"/>
    <col min="11015" max="11026" width="9.140625" style="98" customWidth="1"/>
    <col min="11027" max="11264" width="9.140625" style="98"/>
    <col min="11265" max="11266" width="1.7109375" style="98" customWidth="1"/>
    <col min="11267" max="11267" width="2" style="98" customWidth="1"/>
    <col min="11268" max="11268" width="1.85546875" style="98" customWidth="1"/>
    <col min="11269" max="11269" width="1.7109375" style="98" customWidth="1"/>
    <col min="11270" max="11270" width="18.85546875" style="98" customWidth="1"/>
    <col min="11271" max="11282" width="9.140625" style="98" customWidth="1"/>
    <col min="11283" max="11520" width="9.140625" style="98"/>
    <col min="11521" max="11522" width="1.7109375" style="98" customWidth="1"/>
    <col min="11523" max="11523" width="2" style="98" customWidth="1"/>
    <col min="11524" max="11524" width="1.85546875" style="98" customWidth="1"/>
    <col min="11525" max="11525" width="1.7109375" style="98" customWidth="1"/>
    <col min="11526" max="11526" width="18.85546875" style="98" customWidth="1"/>
    <col min="11527" max="11538" width="9.140625" style="98" customWidth="1"/>
    <col min="11539" max="11776" width="9.140625" style="98"/>
    <col min="11777" max="11778" width="1.7109375" style="98" customWidth="1"/>
    <col min="11779" max="11779" width="2" style="98" customWidth="1"/>
    <col min="11780" max="11780" width="1.85546875" style="98" customWidth="1"/>
    <col min="11781" max="11781" width="1.7109375" style="98" customWidth="1"/>
    <col min="11782" max="11782" width="18.85546875" style="98" customWidth="1"/>
    <col min="11783" max="11794" width="9.140625" style="98" customWidth="1"/>
    <col min="11795" max="12032" width="9.140625" style="98"/>
    <col min="12033" max="12034" width="1.7109375" style="98" customWidth="1"/>
    <col min="12035" max="12035" width="2" style="98" customWidth="1"/>
    <col min="12036" max="12036" width="1.85546875" style="98" customWidth="1"/>
    <col min="12037" max="12037" width="1.7109375" style="98" customWidth="1"/>
    <col min="12038" max="12038" width="18.85546875" style="98" customWidth="1"/>
    <col min="12039" max="12050" width="9.140625" style="98" customWidth="1"/>
    <col min="12051" max="12288" width="9.140625" style="98"/>
    <col min="12289" max="12290" width="1.7109375" style="98" customWidth="1"/>
    <col min="12291" max="12291" width="2" style="98" customWidth="1"/>
    <col min="12292" max="12292" width="1.85546875" style="98" customWidth="1"/>
    <col min="12293" max="12293" width="1.7109375" style="98" customWidth="1"/>
    <col min="12294" max="12294" width="18.85546875" style="98" customWidth="1"/>
    <col min="12295" max="12306" width="9.140625" style="98" customWidth="1"/>
    <col min="12307" max="12544" width="9.140625" style="98"/>
    <col min="12545" max="12546" width="1.7109375" style="98" customWidth="1"/>
    <col min="12547" max="12547" width="2" style="98" customWidth="1"/>
    <col min="12548" max="12548" width="1.85546875" style="98" customWidth="1"/>
    <col min="12549" max="12549" width="1.7109375" style="98" customWidth="1"/>
    <col min="12550" max="12550" width="18.85546875" style="98" customWidth="1"/>
    <col min="12551" max="12562" width="9.140625" style="98" customWidth="1"/>
    <col min="12563" max="12800" width="9.140625" style="98"/>
    <col min="12801" max="12802" width="1.7109375" style="98" customWidth="1"/>
    <col min="12803" max="12803" width="2" style="98" customWidth="1"/>
    <col min="12804" max="12804" width="1.85546875" style="98" customWidth="1"/>
    <col min="12805" max="12805" width="1.7109375" style="98" customWidth="1"/>
    <col min="12806" max="12806" width="18.85546875" style="98" customWidth="1"/>
    <col min="12807" max="12818" width="9.140625" style="98" customWidth="1"/>
    <col min="12819" max="13056" width="9.140625" style="98"/>
    <col min="13057" max="13058" width="1.7109375" style="98" customWidth="1"/>
    <col min="13059" max="13059" width="2" style="98" customWidth="1"/>
    <col min="13060" max="13060" width="1.85546875" style="98" customWidth="1"/>
    <col min="13061" max="13061" width="1.7109375" style="98" customWidth="1"/>
    <col min="13062" max="13062" width="18.85546875" style="98" customWidth="1"/>
    <col min="13063" max="13074" width="9.140625" style="98" customWidth="1"/>
    <col min="13075" max="13312" width="9.140625" style="98"/>
    <col min="13313" max="13314" width="1.7109375" style="98" customWidth="1"/>
    <col min="13315" max="13315" width="2" style="98" customWidth="1"/>
    <col min="13316" max="13316" width="1.85546875" style="98" customWidth="1"/>
    <col min="13317" max="13317" width="1.7109375" style="98" customWidth="1"/>
    <col min="13318" max="13318" width="18.85546875" style="98" customWidth="1"/>
    <col min="13319" max="13330" width="9.140625" style="98" customWidth="1"/>
    <col min="13331" max="13568" width="9.140625" style="98"/>
    <col min="13569" max="13570" width="1.7109375" style="98" customWidth="1"/>
    <col min="13571" max="13571" width="2" style="98" customWidth="1"/>
    <col min="13572" max="13572" width="1.85546875" style="98" customWidth="1"/>
    <col min="13573" max="13573" width="1.7109375" style="98" customWidth="1"/>
    <col min="13574" max="13574" width="18.85546875" style="98" customWidth="1"/>
    <col min="13575" max="13586" width="9.140625" style="98" customWidth="1"/>
    <col min="13587" max="13824" width="9.140625" style="98"/>
    <col min="13825" max="13826" width="1.7109375" style="98" customWidth="1"/>
    <col min="13827" max="13827" width="2" style="98" customWidth="1"/>
    <col min="13828" max="13828" width="1.85546875" style="98" customWidth="1"/>
    <col min="13829" max="13829" width="1.7109375" style="98" customWidth="1"/>
    <col min="13830" max="13830" width="18.85546875" style="98" customWidth="1"/>
    <col min="13831" max="13842" width="9.140625" style="98" customWidth="1"/>
    <col min="13843" max="14080" width="9.140625" style="98"/>
    <col min="14081" max="14082" width="1.7109375" style="98" customWidth="1"/>
    <col min="14083" max="14083" width="2" style="98" customWidth="1"/>
    <col min="14084" max="14084" width="1.85546875" style="98" customWidth="1"/>
    <col min="14085" max="14085" width="1.7109375" style="98" customWidth="1"/>
    <col min="14086" max="14086" width="18.85546875" style="98" customWidth="1"/>
    <col min="14087" max="14098" width="9.140625" style="98" customWidth="1"/>
    <col min="14099" max="14336" width="9.140625" style="98"/>
    <col min="14337" max="14338" width="1.7109375" style="98" customWidth="1"/>
    <col min="14339" max="14339" width="2" style="98" customWidth="1"/>
    <col min="14340" max="14340" width="1.85546875" style="98" customWidth="1"/>
    <col min="14341" max="14341" width="1.7109375" style="98" customWidth="1"/>
    <col min="14342" max="14342" width="18.85546875" style="98" customWidth="1"/>
    <col min="14343" max="14354" width="9.140625" style="98" customWidth="1"/>
    <col min="14355" max="14592" width="9.140625" style="98"/>
    <col min="14593" max="14594" width="1.7109375" style="98" customWidth="1"/>
    <col min="14595" max="14595" width="2" style="98" customWidth="1"/>
    <col min="14596" max="14596" width="1.85546875" style="98" customWidth="1"/>
    <col min="14597" max="14597" width="1.7109375" style="98" customWidth="1"/>
    <col min="14598" max="14598" width="18.85546875" style="98" customWidth="1"/>
    <col min="14599" max="14610" width="9.140625" style="98" customWidth="1"/>
    <col min="14611" max="14848" width="9.140625" style="98"/>
    <col min="14849" max="14850" width="1.7109375" style="98" customWidth="1"/>
    <col min="14851" max="14851" width="2" style="98" customWidth="1"/>
    <col min="14852" max="14852" width="1.85546875" style="98" customWidth="1"/>
    <col min="14853" max="14853" width="1.7109375" style="98" customWidth="1"/>
    <col min="14854" max="14854" width="18.85546875" style="98" customWidth="1"/>
    <col min="14855" max="14866" width="9.140625" style="98" customWidth="1"/>
    <col min="14867" max="15104" width="9.140625" style="98"/>
    <col min="15105" max="15106" width="1.7109375" style="98" customWidth="1"/>
    <col min="15107" max="15107" width="2" style="98" customWidth="1"/>
    <col min="15108" max="15108" width="1.85546875" style="98" customWidth="1"/>
    <col min="15109" max="15109" width="1.7109375" style="98" customWidth="1"/>
    <col min="15110" max="15110" width="18.85546875" style="98" customWidth="1"/>
    <col min="15111" max="15122" width="9.140625" style="98" customWidth="1"/>
    <col min="15123" max="15360" width="9.140625" style="98"/>
    <col min="15361" max="15362" width="1.7109375" style="98" customWidth="1"/>
    <col min="15363" max="15363" width="2" style="98" customWidth="1"/>
    <col min="15364" max="15364" width="1.85546875" style="98" customWidth="1"/>
    <col min="15365" max="15365" width="1.7109375" style="98" customWidth="1"/>
    <col min="15366" max="15366" width="18.85546875" style="98" customWidth="1"/>
    <col min="15367" max="15378" width="9.140625" style="98" customWidth="1"/>
    <col min="15379" max="15616" width="9.140625" style="98"/>
    <col min="15617" max="15618" width="1.7109375" style="98" customWidth="1"/>
    <col min="15619" max="15619" width="2" style="98" customWidth="1"/>
    <col min="15620" max="15620" width="1.85546875" style="98" customWidth="1"/>
    <col min="15621" max="15621" width="1.7109375" style="98" customWidth="1"/>
    <col min="15622" max="15622" width="18.85546875" style="98" customWidth="1"/>
    <col min="15623" max="15634" width="9.140625" style="98" customWidth="1"/>
    <col min="15635" max="15872" width="9.140625" style="98"/>
    <col min="15873" max="15874" width="1.7109375" style="98" customWidth="1"/>
    <col min="15875" max="15875" width="2" style="98" customWidth="1"/>
    <col min="15876" max="15876" width="1.85546875" style="98" customWidth="1"/>
    <col min="15877" max="15877" width="1.7109375" style="98" customWidth="1"/>
    <col min="15878" max="15878" width="18.85546875" style="98" customWidth="1"/>
    <col min="15879" max="15890" width="9.140625" style="98" customWidth="1"/>
    <col min="15891" max="16128" width="9.140625" style="98"/>
    <col min="16129" max="16130" width="1.7109375" style="98" customWidth="1"/>
    <col min="16131" max="16131" width="2" style="98" customWidth="1"/>
    <col min="16132" max="16132" width="1.85546875" style="98" customWidth="1"/>
    <col min="16133" max="16133" width="1.7109375" style="98" customWidth="1"/>
    <col min="16134" max="16134" width="18.85546875" style="98" customWidth="1"/>
    <col min="16135" max="16146" width="9.140625" style="98" customWidth="1"/>
    <col min="16147" max="16384" width="9.140625" style="98"/>
  </cols>
  <sheetData>
    <row r="1" spans="1:18">
      <c r="A1" s="97" t="s">
        <v>133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8">
      <c r="A2" s="97" t="s">
        <v>58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8">
      <c r="A3" s="97" t="s">
        <v>0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</row>
    <row r="5" spans="1:18" ht="18" customHeight="1">
      <c r="A5" s="202" t="s">
        <v>1</v>
      </c>
      <c r="B5" s="203"/>
      <c r="C5" s="203"/>
      <c r="D5" s="203"/>
      <c r="E5" s="203"/>
      <c r="F5" s="203"/>
      <c r="G5" s="109" t="s">
        <v>5</v>
      </c>
      <c r="H5" s="109" t="s">
        <v>23</v>
      </c>
      <c r="I5" s="109" t="s">
        <v>24</v>
      </c>
      <c r="J5" s="109" t="s">
        <v>26</v>
      </c>
      <c r="K5" s="109" t="s">
        <v>27</v>
      </c>
      <c r="L5" s="109" t="s">
        <v>36</v>
      </c>
      <c r="M5" s="109" t="s">
        <v>28</v>
      </c>
      <c r="N5" s="109" t="s">
        <v>29</v>
      </c>
      <c r="O5" s="109" t="s">
        <v>39</v>
      </c>
      <c r="P5" s="109" t="s">
        <v>31</v>
      </c>
      <c r="Q5" s="109" t="s">
        <v>32</v>
      </c>
      <c r="R5" s="110" t="s">
        <v>33</v>
      </c>
    </row>
    <row r="6" spans="1:18">
      <c r="G6" s="100"/>
      <c r="H6" s="100"/>
      <c r="I6" s="100"/>
      <c r="J6" s="100"/>
      <c r="K6" s="100"/>
      <c r="L6" s="100"/>
      <c r="M6" s="100"/>
      <c r="N6" s="100"/>
      <c r="O6" s="100" t="s">
        <v>35</v>
      </c>
      <c r="P6" s="100" t="s">
        <v>35</v>
      </c>
      <c r="Q6" s="100" t="s">
        <v>35</v>
      </c>
      <c r="R6" s="100" t="s">
        <v>35</v>
      </c>
    </row>
    <row r="7" spans="1:18">
      <c r="A7" s="97" t="s">
        <v>17</v>
      </c>
      <c r="B7" s="97"/>
      <c r="C7" s="97"/>
      <c r="D7" s="97"/>
      <c r="E7" s="97"/>
      <c r="F7" s="97"/>
      <c r="G7" s="101">
        <f t="shared" ref="G7:R7" si="0">+G9+G16</f>
        <v>543819</v>
      </c>
      <c r="H7" s="101">
        <f t="shared" si="0"/>
        <v>553974</v>
      </c>
      <c r="I7" s="101">
        <f t="shared" si="0"/>
        <v>552887</v>
      </c>
      <c r="J7" s="101">
        <f t="shared" si="0"/>
        <v>551731</v>
      </c>
      <c r="K7" s="101">
        <f t="shared" si="0"/>
        <v>588140</v>
      </c>
      <c r="L7" s="101">
        <f t="shared" si="0"/>
        <v>580507</v>
      </c>
      <c r="M7" s="101">
        <f t="shared" si="0"/>
        <v>572200</v>
      </c>
      <c r="N7" s="101">
        <f t="shared" si="0"/>
        <v>585191</v>
      </c>
      <c r="O7" s="101">
        <f t="shared" si="0"/>
        <v>579260</v>
      </c>
      <c r="P7" s="101">
        <f t="shared" si="0"/>
        <v>564954</v>
      </c>
      <c r="Q7" s="101">
        <f t="shared" si="0"/>
        <v>569571</v>
      </c>
      <c r="R7" s="101">
        <f t="shared" si="0"/>
        <v>614133.13840000005</v>
      </c>
    </row>
    <row r="8" spans="1:18" ht="14.25">
      <c r="A8" s="3"/>
      <c r="B8" s="3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</row>
    <row r="9" spans="1:18">
      <c r="A9" s="97" t="s">
        <v>59</v>
      </c>
      <c r="B9" s="97"/>
      <c r="C9" s="97"/>
      <c r="D9" s="97"/>
      <c r="E9" s="97"/>
      <c r="F9" s="97"/>
      <c r="G9" s="103">
        <f t="shared" ref="G9:R9" si="1">G11+G12</f>
        <v>72814</v>
      </c>
      <c r="H9" s="103">
        <f t="shared" si="1"/>
        <v>92807</v>
      </c>
      <c r="I9" s="103">
        <f t="shared" si="1"/>
        <v>89051</v>
      </c>
      <c r="J9" s="103">
        <f t="shared" si="1"/>
        <v>89046</v>
      </c>
      <c r="K9" s="103">
        <f t="shared" si="1"/>
        <v>89042</v>
      </c>
      <c r="L9" s="103">
        <f t="shared" si="1"/>
        <v>89034</v>
      </c>
      <c r="M9" s="103">
        <f t="shared" si="1"/>
        <v>89027</v>
      </c>
      <c r="N9" s="103">
        <f t="shared" si="1"/>
        <v>89025</v>
      </c>
      <c r="O9" s="103">
        <f t="shared" si="1"/>
        <v>89023</v>
      </c>
      <c r="P9" s="103">
        <f t="shared" si="1"/>
        <v>78022</v>
      </c>
      <c r="Q9" s="103">
        <f t="shared" si="1"/>
        <v>81519</v>
      </c>
      <c r="R9" s="103">
        <f t="shared" si="1"/>
        <v>79518.835999999996</v>
      </c>
    </row>
    <row r="10" spans="1:18"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18">
      <c r="B11" s="98" t="s">
        <v>134</v>
      </c>
      <c r="G11" s="104">
        <v>72678</v>
      </c>
      <c r="H11" s="104">
        <v>92671</v>
      </c>
      <c r="I11" s="104">
        <v>88915</v>
      </c>
      <c r="J11" s="104">
        <v>88910</v>
      </c>
      <c r="K11" s="104">
        <v>88906</v>
      </c>
      <c r="L11" s="104">
        <v>88898</v>
      </c>
      <c r="M11" s="104">
        <v>88891</v>
      </c>
      <c r="N11" s="104">
        <v>88889</v>
      </c>
      <c r="O11" s="104">
        <v>88887</v>
      </c>
      <c r="P11" s="104">
        <v>77886</v>
      </c>
      <c r="Q11" s="104">
        <v>81383</v>
      </c>
      <c r="R11" s="104">
        <v>79382.767999999996</v>
      </c>
    </row>
    <row r="12" spans="1:18">
      <c r="B12" s="98" t="s">
        <v>135</v>
      </c>
      <c r="G12" s="111">
        <f t="shared" ref="G12:R12" si="2">+SUM(G13:G14)</f>
        <v>136</v>
      </c>
      <c r="H12" s="111">
        <f t="shared" si="2"/>
        <v>136</v>
      </c>
      <c r="I12" s="111">
        <f t="shared" si="2"/>
        <v>136</v>
      </c>
      <c r="J12" s="111">
        <f t="shared" si="2"/>
        <v>136</v>
      </c>
      <c r="K12" s="111">
        <f t="shared" si="2"/>
        <v>136</v>
      </c>
      <c r="L12" s="111">
        <f t="shared" si="2"/>
        <v>136</v>
      </c>
      <c r="M12" s="111">
        <f t="shared" si="2"/>
        <v>136</v>
      </c>
      <c r="N12" s="111">
        <f t="shared" si="2"/>
        <v>136</v>
      </c>
      <c r="O12" s="111">
        <f t="shared" si="2"/>
        <v>136</v>
      </c>
      <c r="P12" s="111">
        <f t="shared" si="2"/>
        <v>136</v>
      </c>
      <c r="Q12" s="111">
        <f t="shared" si="2"/>
        <v>136</v>
      </c>
      <c r="R12" s="111">
        <f t="shared" si="2"/>
        <v>136.06800000000001</v>
      </c>
    </row>
    <row r="13" spans="1:18">
      <c r="C13" s="98" t="s">
        <v>13</v>
      </c>
      <c r="G13" s="104">
        <v>37</v>
      </c>
      <c r="H13" s="104">
        <v>37</v>
      </c>
      <c r="I13" s="104">
        <v>37</v>
      </c>
      <c r="J13" s="104">
        <v>37</v>
      </c>
      <c r="K13" s="104">
        <v>37</v>
      </c>
      <c r="L13" s="104">
        <v>37</v>
      </c>
      <c r="M13" s="104">
        <v>37</v>
      </c>
      <c r="N13" s="104">
        <v>37</v>
      </c>
      <c r="O13" s="104">
        <v>37</v>
      </c>
      <c r="P13" s="104">
        <v>37</v>
      </c>
      <c r="Q13" s="104">
        <v>37</v>
      </c>
      <c r="R13" s="104">
        <v>36.826000000000001</v>
      </c>
    </row>
    <row r="14" spans="1:18">
      <c r="C14" s="98" t="s">
        <v>15</v>
      </c>
      <c r="G14" s="104">
        <v>99</v>
      </c>
      <c r="H14" s="104">
        <v>99</v>
      </c>
      <c r="I14" s="104">
        <v>99</v>
      </c>
      <c r="J14" s="104">
        <v>99</v>
      </c>
      <c r="K14" s="104">
        <v>99</v>
      </c>
      <c r="L14" s="104">
        <v>99</v>
      </c>
      <c r="M14" s="104">
        <v>99</v>
      </c>
      <c r="N14" s="104">
        <v>99</v>
      </c>
      <c r="O14" s="104">
        <v>99</v>
      </c>
      <c r="P14" s="104">
        <v>99</v>
      </c>
      <c r="Q14" s="104">
        <v>99</v>
      </c>
      <c r="R14" s="104">
        <v>99.242000000000004</v>
      </c>
    </row>
    <row r="15" spans="1:18"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</row>
    <row r="16" spans="1:18">
      <c r="A16" s="97" t="s">
        <v>136</v>
      </c>
      <c r="B16" s="97"/>
      <c r="C16" s="97"/>
      <c r="D16" s="97"/>
      <c r="E16" s="97"/>
      <c r="F16" s="97"/>
      <c r="G16" s="103">
        <f t="shared" ref="G16:R16" si="3">+G18+G19</f>
        <v>471005</v>
      </c>
      <c r="H16" s="103">
        <f t="shared" si="3"/>
        <v>461167</v>
      </c>
      <c r="I16" s="103">
        <f t="shared" si="3"/>
        <v>463836</v>
      </c>
      <c r="J16" s="103">
        <f t="shared" si="3"/>
        <v>462685</v>
      </c>
      <c r="K16" s="103">
        <f t="shared" si="3"/>
        <v>499098</v>
      </c>
      <c r="L16" s="103">
        <f t="shared" si="3"/>
        <v>491473</v>
      </c>
      <c r="M16" s="103">
        <f t="shared" si="3"/>
        <v>483173</v>
      </c>
      <c r="N16" s="103">
        <f t="shared" si="3"/>
        <v>496166</v>
      </c>
      <c r="O16" s="103">
        <f t="shared" si="3"/>
        <v>490237</v>
      </c>
      <c r="P16" s="103">
        <f t="shared" si="3"/>
        <v>486932</v>
      </c>
      <c r="Q16" s="103">
        <f t="shared" si="3"/>
        <v>488052</v>
      </c>
      <c r="R16" s="103">
        <f t="shared" si="3"/>
        <v>534614.30240000004</v>
      </c>
    </row>
    <row r="17" spans="1:18"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18">
      <c r="B18" s="98" t="s">
        <v>134</v>
      </c>
      <c r="G18" s="104">
        <v>466955</v>
      </c>
      <c r="H18" s="104">
        <v>457015</v>
      </c>
      <c r="I18" s="104">
        <v>459675</v>
      </c>
      <c r="J18" s="104">
        <v>458506</v>
      </c>
      <c r="K18" s="104">
        <v>495024</v>
      </c>
      <c r="L18" s="104">
        <v>487326</v>
      </c>
      <c r="M18" s="104">
        <v>479042</v>
      </c>
      <c r="N18" s="104">
        <v>491966</v>
      </c>
      <c r="O18" s="104">
        <v>486147</v>
      </c>
      <c r="P18" s="104">
        <v>482829</v>
      </c>
      <c r="Q18" s="104">
        <v>484030</v>
      </c>
      <c r="R18" s="104">
        <v>530632.652</v>
      </c>
    </row>
    <row r="19" spans="1:18">
      <c r="B19" s="98" t="s">
        <v>135</v>
      </c>
      <c r="G19" s="111">
        <f t="shared" ref="G19:R19" si="4">+SUM(G20:G23)</f>
        <v>4050</v>
      </c>
      <c r="H19" s="111">
        <f t="shared" si="4"/>
        <v>4152</v>
      </c>
      <c r="I19" s="111">
        <f t="shared" si="4"/>
        <v>4161</v>
      </c>
      <c r="J19" s="111">
        <f t="shared" si="4"/>
        <v>4179</v>
      </c>
      <c r="K19" s="111">
        <f t="shared" si="4"/>
        <v>4074</v>
      </c>
      <c r="L19" s="111">
        <f t="shared" si="4"/>
        <v>4147</v>
      </c>
      <c r="M19" s="111">
        <f t="shared" si="4"/>
        <v>4131</v>
      </c>
      <c r="N19" s="111">
        <f t="shared" si="4"/>
        <v>4200</v>
      </c>
      <c r="O19" s="111">
        <f t="shared" si="4"/>
        <v>4090</v>
      </c>
      <c r="P19" s="111">
        <f t="shared" si="4"/>
        <v>4103</v>
      </c>
      <c r="Q19" s="111">
        <f t="shared" si="4"/>
        <v>4022</v>
      </c>
      <c r="R19" s="111">
        <f t="shared" si="4"/>
        <v>3981.6504</v>
      </c>
    </row>
    <row r="20" spans="1:18">
      <c r="C20" s="98" t="s">
        <v>12</v>
      </c>
      <c r="G20" s="104">
        <v>4013</v>
      </c>
      <c r="H20" s="104">
        <v>4114</v>
      </c>
      <c r="I20" s="104">
        <v>4123</v>
      </c>
      <c r="J20" s="104">
        <v>4141</v>
      </c>
      <c r="K20" s="104">
        <v>4037</v>
      </c>
      <c r="L20" s="104">
        <v>4109</v>
      </c>
      <c r="M20" s="104">
        <v>4093</v>
      </c>
      <c r="N20" s="104">
        <v>4161</v>
      </c>
      <c r="O20" s="104">
        <v>4052</v>
      </c>
      <c r="P20" s="104">
        <v>4065</v>
      </c>
      <c r="Q20" s="104">
        <v>3985</v>
      </c>
      <c r="R20" s="104">
        <f>85.115*46.35</f>
        <v>3945.08025</v>
      </c>
    </row>
    <row r="21" spans="1:18">
      <c r="C21" s="98" t="s">
        <v>13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4">
        <v>0</v>
      </c>
      <c r="O21" s="104">
        <v>0</v>
      </c>
      <c r="P21" s="104">
        <v>0</v>
      </c>
      <c r="Q21" s="104">
        <v>0</v>
      </c>
      <c r="R21" s="104">
        <v>0</v>
      </c>
    </row>
    <row r="22" spans="1:18">
      <c r="C22" s="98" t="s">
        <v>156</v>
      </c>
      <c r="G22" s="104">
        <v>37</v>
      </c>
      <c r="H22" s="104">
        <v>38</v>
      </c>
      <c r="I22" s="104">
        <v>38</v>
      </c>
      <c r="J22" s="104">
        <v>38</v>
      </c>
      <c r="K22" s="104">
        <v>37</v>
      </c>
      <c r="L22" s="104">
        <v>38</v>
      </c>
      <c r="M22" s="104">
        <v>38</v>
      </c>
      <c r="N22" s="104">
        <v>39</v>
      </c>
      <c r="O22" s="104">
        <v>38</v>
      </c>
      <c r="P22" s="104">
        <v>38</v>
      </c>
      <c r="Q22" s="104">
        <v>37</v>
      </c>
      <c r="R22" s="104">
        <f>0.789*46.35</f>
        <v>36.570150000000005</v>
      </c>
    </row>
    <row r="23" spans="1:18">
      <c r="C23" s="98" t="s">
        <v>15</v>
      </c>
      <c r="G23" s="104">
        <v>0</v>
      </c>
      <c r="H23" s="104">
        <v>0</v>
      </c>
      <c r="I23" s="104">
        <v>0</v>
      </c>
      <c r="J23" s="104">
        <v>0</v>
      </c>
      <c r="K23" s="104">
        <v>0</v>
      </c>
      <c r="L23" s="104">
        <v>0</v>
      </c>
      <c r="M23" s="104">
        <v>0</v>
      </c>
      <c r="N23" s="104">
        <v>0</v>
      </c>
      <c r="O23" s="104">
        <v>0</v>
      </c>
      <c r="P23" s="104">
        <v>0</v>
      </c>
      <c r="Q23" s="104">
        <v>0</v>
      </c>
      <c r="R23" s="104">
        <v>0</v>
      </c>
    </row>
    <row r="24" spans="1:18">
      <c r="G24" s="104"/>
      <c r="H24" s="104"/>
      <c r="I24" s="104"/>
    </row>
    <row r="25" spans="1:18">
      <c r="A25" s="99"/>
      <c r="B25" s="99"/>
      <c r="C25" s="99"/>
      <c r="D25" s="99"/>
      <c r="E25" s="99"/>
      <c r="F25" s="99"/>
    </row>
    <row r="26" spans="1:18">
      <c r="A26" s="98" t="s">
        <v>80</v>
      </c>
    </row>
    <row r="27" spans="1:18">
      <c r="A27" s="97"/>
    </row>
    <row r="28" spans="1:18">
      <c r="A28" s="97"/>
    </row>
    <row r="29" spans="1:18">
      <c r="A29" s="97"/>
    </row>
    <row r="30" spans="1:18">
      <c r="A30" s="97"/>
    </row>
    <row r="31" spans="1:18" ht="14.25">
      <c r="A31" s="112"/>
      <c r="B31" s="113"/>
      <c r="C31" s="113"/>
      <c r="D31" s="113"/>
      <c r="E31" s="113"/>
      <c r="F31" s="113"/>
      <c r="G31" s="112"/>
    </row>
    <row r="32" spans="1:18">
      <c r="A32" s="105" t="s">
        <v>22</v>
      </c>
    </row>
    <row r="33" spans="1:7">
      <c r="A33" s="105" t="s">
        <v>68</v>
      </c>
    </row>
    <row r="34" spans="1:7">
      <c r="A34" s="105" t="s">
        <v>165</v>
      </c>
      <c r="F34" s="105"/>
    </row>
    <row r="35" spans="1:7">
      <c r="A35" s="114" t="s">
        <v>166</v>
      </c>
    </row>
    <row r="36" spans="1:7">
      <c r="A36" s="117"/>
      <c r="F36" s="105"/>
    </row>
    <row r="37" spans="1:7" ht="13.5">
      <c r="A37" s="106" t="s">
        <v>35</v>
      </c>
      <c r="F37" s="105"/>
    </row>
    <row r="38" spans="1:7">
      <c r="F38" s="105"/>
    </row>
    <row r="45" spans="1:7">
      <c r="G45" s="107"/>
    </row>
    <row r="46" spans="1:7">
      <c r="G46" s="108"/>
    </row>
    <row r="47" spans="1:7">
      <c r="G47" s="108"/>
    </row>
    <row r="48" spans="1:7">
      <c r="G48" s="108"/>
    </row>
    <row r="49" spans="7:7">
      <c r="G49" s="104"/>
    </row>
  </sheetData>
  <mergeCells count="1">
    <mergeCell ref="A5:F5"/>
  </mergeCells>
  <pageMargins left="0.23622047244094491" right="0" top="0.98425196850393704" bottom="0.98425196850393704" header="0" footer="0"/>
  <pageSetup scale="78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>
    <pageSetUpPr fitToPage="1"/>
  </sheetPr>
  <dimension ref="A1:W58"/>
  <sheetViews>
    <sheetView zoomScale="98" zoomScaleNormal="98" workbookViewId="0">
      <selection activeCell="D11" sqref="D11"/>
    </sheetView>
  </sheetViews>
  <sheetFormatPr defaultRowHeight="16.5"/>
  <cols>
    <col min="1" max="1" width="2" style="2" customWidth="1"/>
    <col min="2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5703125" style="2" customWidth="1"/>
    <col min="7" max="7" width="10.85546875" style="15" hidden="1" customWidth="1"/>
    <col min="8" max="8" width="4.140625" style="15" hidden="1" customWidth="1"/>
    <col min="9" max="9" width="2.5703125" style="15" hidden="1" customWidth="1"/>
    <col min="10" max="10" width="4.140625" style="15" hidden="1" customWidth="1"/>
    <col min="11" max="11" width="4.85546875" style="15" hidden="1" customWidth="1"/>
    <col min="12" max="23" width="10.28515625" style="2" bestFit="1" customWidth="1"/>
    <col min="24" max="256" width="9.140625" style="2"/>
    <col min="257" max="257" width="2" style="2" customWidth="1"/>
    <col min="258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5703125" style="2" customWidth="1"/>
    <col min="263" max="267" width="0" style="2" hidden="1" customWidth="1"/>
    <col min="268" max="268" width="10" style="2" customWidth="1"/>
    <col min="269" max="269" width="9.7109375" style="2" customWidth="1"/>
    <col min="270" max="270" width="10" style="2" customWidth="1"/>
    <col min="271" max="271" width="9.7109375" style="2" customWidth="1"/>
    <col min="272" max="279" width="9.85546875" style="2" bestFit="1" customWidth="1"/>
    <col min="280" max="512" width="9.140625" style="2"/>
    <col min="513" max="513" width="2" style="2" customWidth="1"/>
    <col min="514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5703125" style="2" customWidth="1"/>
    <col min="519" max="523" width="0" style="2" hidden="1" customWidth="1"/>
    <col min="524" max="524" width="10" style="2" customWidth="1"/>
    <col min="525" max="525" width="9.7109375" style="2" customWidth="1"/>
    <col min="526" max="526" width="10" style="2" customWidth="1"/>
    <col min="527" max="527" width="9.7109375" style="2" customWidth="1"/>
    <col min="528" max="535" width="9.85546875" style="2" bestFit="1" customWidth="1"/>
    <col min="536" max="768" width="9.140625" style="2"/>
    <col min="769" max="769" width="2" style="2" customWidth="1"/>
    <col min="770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5703125" style="2" customWidth="1"/>
    <col min="775" max="779" width="0" style="2" hidden="1" customWidth="1"/>
    <col min="780" max="780" width="10" style="2" customWidth="1"/>
    <col min="781" max="781" width="9.7109375" style="2" customWidth="1"/>
    <col min="782" max="782" width="10" style="2" customWidth="1"/>
    <col min="783" max="783" width="9.7109375" style="2" customWidth="1"/>
    <col min="784" max="791" width="9.85546875" style="2" bestFit="1" customWidth="1"/>
    <col min="792" max="1024" width="9.140625" style="2"/>
    <col min="1025" max="1025" width="2" style="2" customWidth="1"/>
    <col min="1026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5703125" style="2" customWidth="1"/>
    <col min="1031" max="1035" width="0" style="2" hidden="1" customWidth="1"/>
    <col min="1036" max="1036" width="10" style="2" customWidth="1"/>
    <col min="1037" max="1037" width="9.7109375" style="2" customWidth="1"/>
    <col min="1038" max="1038" width="10" style="2" customWidth="1"/>
    <col min="1039" max="1039" width="9.7109375" style="2" customWidth="1"/>
    <col min="1040" max="1047" width="9.85546875" style="2" bestFit="1" customWidth="1"/>
    <col min="1048" max="1280" width="9.140625" style="2"/>
    <col min="1281" max="1281" width="2" style="2" customWidth="1"/>
    <col min="1282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5703125" style="2" customWidth="1"/>
    <col min="1287" max="1291" width="0" style="2" hidden="1" customWidth="1"/>
    <col min="1292" max="1292" width="10" style="2" customWidth="1"/>
    <col min="1293" max="1293" width="9.7109375" style="2" customWidth="1"/>
    <col min="1294" max="1294" width="10" style="2" customWidth="1"/>
    <col min="1295" max="1295" width="9.7109375" style="2" customWidth="1"/>
    <col min="1296" max="1303" width="9.85546875" style="2" bestFit="1" customWidth="1"/>
    <col min="1304" max="1536" width="9.140625" style="2"/>
    <col min="1537" max="1537" width="2" style="2" customWidth="1"/>
    <col min="1538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5703125" style="2" customWidth="1"/>
    <col min="1543" max="1547" width="0" style="2" hidden="1" customWidth="1"/>
    <col min="1548" max="1548" width="10" style="2" customWidth="1"/>
    <col min="1549" max="1549" width="9.7109375" style="2" customWidth="1"/>
    <col min="1550" max="1550" width="10" style="2" customWidth="1"/>
    <col min="1551" max="1551" width="9.7109375" style="2" customWidth="1"/>
    <col min="1552" max="1559" width="9.85546875" style="2" bestFit="1" customWidth="1"/>
    <col min="1560" max="1792" width="9.140625" style="2"/>
    <col min="1793" max="1793" width="2" style="2" customWidth="1"/>
    <col min="1794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5703125" style="2" customWidth="1"/>
    <col min="1799" max="1803" width="0" style="2" hidden="1" customWidth="1"/>
    <col min="1804" max="1804" width="10" style="2" customWidth="1"/>
    <col min="1805" max="1805" width="9.7109375" style="2" customWidth="1"/>
    <col min="1806" max="1806" width="10" style="2" customWidth="1"/>
    <col min="1807" max="1807" width="9.7109375" style="2" customWidth="1"/>
    <col min="1808" max="1815" width="9.85546875" style="2" bestFit="1" customWidth="1"/>
    <col min="1816" max="2048" width="9.140625" style="2"/>
    <col min="2049" max="2049" width="2" style="2" customWidth="1"/>
    <col min="2050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5703125" style="2" customWidth="1"/>
    <col min="2055" max="2059" width="0" style="2" hidden="1" customWidth="1"/>
    <col min="2060" max="2060" width="10" style="2" customWidth="1"/>
    <col min="2061" max="2061" width="9.7109375" style="2" customWidth="1"/>
    <col min="2062" max="2062" width="10" style="2" customWidth="1"/>
    <col min="2063" max="2063" width="9.7109375" style="2" customWidth="1"/>
    <col min="2064" max="2071" width="9.85546875" style="2" bestFit="1" customWidth="1"/>
    <col min="2072" max="2304" width="9.140625" style="2"/>
    <col min="2305" max="2305" width="2" style="2" customWidth="1"/>
    <col min="2306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5703125" style="2" customWidth="1"/>
    <col min="2311" max="2315" width="0" style="2" hidden="1" customWidth="1"/>
    <col min="2316" max="2316" width="10" style="2" customWidth="1"/>
    <col min="2317" max="2317" width="9.7109375" style="2" customWidth="1"/>
    <col min="2318" max="2318" width="10" style="2" customWidth="1"/>
    <col min="2319" max="2319" width="9.7109375" style="2" customWidth="1"/>
    <col min="2320" max="2327" width="9.85546875" style="2" bestFit="1" customWidth="1"/>
    <col min="2328" max="2560" width="9.140625" style="2"/>
    <col min="2561" max="2561" width="2" style="2" customWidth="1"/>
    <col min="2562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5703125" style="2" customWidth="1"/>
    <col min="2567" max="2571" width="0" style="2" hidden="1" customWidth="1"/>
    <col min="2572" max="2572" width="10" style="2" customWidth="1"/>
    <col min="2573" max="2573" width="9.7109375" style="2" customWidth="1"/>
    <col min="2574" max="2574" width="10" style="2" customWidth="1"/>
    <col min="2575" max="2575" width="9.7109375" style="2" customWidth="1"/>
    <col min="2576" max="2583" width="9.85546875" style="2" bestFit="1" customWidth="1"/>
    <col min="2584" max="2816" width="9.140625" style="2"/>
    <col min="2817" max="2817" width="2" style="2" customWidth="1"/>
    <col min="2818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5703125" style="2" customWidth="1"/>
    <col min="2823" max="2827" width="0" style="2" hidden="1" customWidth="1"/>
    <col min="2828" max="2828" width="10" style="2" customWidth="1"/>
    <col min="2829" max="2829" width="9.7109375" style="2" customWidth="1"/>
    <col min="2830" max="2830" width="10" style="2" customWidth="1"/>
    <col min="2831" max="2831" width="9.7109375" style="2" customWidth="1"/>
    <col min="2832" max="2839" width="9.85546875" style="2" bestFit="1" customWidth="1"/>
    <col min="2840" max="3072" width="9.140625" style="2"/>
    <col min="3073" max="3073" width="2" style="2" customWidth="1"/>
    <col min="3074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5703125" style="2" customWidth="1"/>
    <col min="3079" max="3083" width="0" style="2" hidden="1" customWidth="1"/>
    <col min="3084" max="3084" width="10" style="2" customWidth="1"/>
    <col min="3085" max="3085" width="9.7109375" style="2" customWidth="1"/>
    <col min="3086" max="3086" width="10" style="2" customWidth="1"/>
    <col min="3087" max="3087" width="9.7109375" style="2" customWidth="1"/>
    <col min="3088" max="3095" width="9.85546875" style="2" bestFit="1" customWidth="1"/>
    <col min="3096" max="3328" width="9.140625" style="2"/>
    <col min="3329" max="3329" width="2" style="2" customWidth="1"/>
    <col min="3330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5703125" style="2" customWidth="1"/>
    <col min="3335" max="3339" width="0" style="2" hidden="1" customWidth="1"/>
    <col min="3340" max="3340" width="10" style="2" customWidth="1"/>
    <col min="3341" max="3341" width="9.7109375" style="2" customWidth="1"/>
    <col min="3342" max="3342" width="10" style="2" customWidth="1"/>
    <col min="3343" max="3343" width="9.7109375" style="2" customWidth="1"/>
    <col min="3344" max="3351" width="9.85546875" style="2" bestFit="1" customWidth="1"/>
    <col min="3352" max="3584" width="9.140625" style="2"/>
    <col min="3585" max="3585" width="2" style="2" customWidth="1"/>
    <col min="3586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5703125" style="2" customWidth="1"/>
    <col min="3591" max="3595" width="0" style="2" hidden="1" customWidth="1"/>
    <col min="3596" max="3596" width="10" style="2" customWidth="1"/>
    <col min="3597" max="3597" width="9.7109375" style="2" customWidth="1"/>
    <col min="3598" max="3598" width="10" style="2" customWidth="1"/>
    <col min="3599" max="3599" width="9.7109375" style="2" customWidth="1"/>
    <col min="3600" max="3607" width="9.85546875" style="2" bestFit="1" customWidth="1"/>
    <col min="3608" max="3840" width="9.140625" style="2"/>
    <col min="3841" max="3841" width="2" style="2" customWidth="1"/>
    <col min="3842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5703125" style="2" customWidth="1"/>
    <col min="3847" max="3851" width="0" style="2" hidden="1" customWidth="1"/>
    <col min="3852" max="3852" width="10" style="2" customWidth="1"/>
    <col min="3853" max="3853" width="9.7109375" style="2" customWidth="1"/>
    <col min="3854" max="3854" width="10" style="2" customWidth="1"/>
    <col min="3855" max="3855" width="9.7109375" style="2" customWidth="1"/>
    <col min="3856" max="3863" width="9.85546875" style="2" bestFit="1" customWidth="1"/>
    <col min="3864" max="4096" width="9.140625" style="2"/>
    <col min="4097" max="4097" width="2" style="2" customWidth="1"/>
    <col min="4098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5703125" style="2" customWidth="1"/>
    <col min="4103" max="4107" width="0" style="2" hidden="1" customWidth="1"/>
    <col min="4108" max="4108" width="10" style="2" customWidth="1"/>
    <col min="4109" max="4109" width="9.7109375" style="2" customWidth="1"/>
    <col min="4110" max="4110" width="10" style="2" customWidth="1"/>
    <col min="4111" max="4111" width="9.7109375" style="2" customWidth="1"/>
    <col min="4112" max="4119" width="9.85546875" style="2" bestFit="1" customWidth="1"/>
    <col min="4120" max="4352" width="9.140625" style="2"/>
    <col min="4353" max="4353" width="2" style="2" customWidth="1"/>
    <col min="4354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5703125" style="2" customWidth="1"/>
    <col min="4359" max="4363" width="0" style="2" hidden="1" customWidth="1"/>
    <col min="4364" max="4364" width="10" style="2" customWidth="1"/>
    <col min="4365" max="4365" width="9.7109375" style="2" customWidth="1"/>
    <col min="4366" max="4366" width="10" style="2" customWidth="1"/>
    <col min="4367" max="4367" width="9.7109375" style="2" customWidth="1"/>
    <col min="4368" max="4375" width="9.85546875" style="2" bestFit="1" customWidth="1"/>
    <col min="4376" max="4608" width="9.140625" style="2"/>
    <col min="4609" max="4609" width="2" style="2" customWidth="1"/>
    <col min="4610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5703125" style="2" customWidth="1"/>
    <col min="4615" max="4619" width="0" style="2" hidden="1" customWidth="1"/>
    <col min="4620" max="4620" width="10" style="2" customWidth="1"/>
    <col min="4621" max="4621" width="9.7109375" style="2" customWidth="1"/>
    <col min="4622" max="4622" width="10" style="2" customWidth="1"/>
    <col min="4623" max="4623" width="9.7109375" style="2" customWidth="1"/>
    <col min="4624" max="4631" width="9.85546875" style="2" bestFit="1" customWidth="1"/>
    <col min="4632" max="4864" width="9.140625" style="2"/>
    <col min="4865" max="4865" width="2" style="2" customWidth="1"/>
    <col min="4866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5703125" style="2" customWidth="1"/>
    <col min="4871" max="4875" width="0" style="2" hidden="1" customWidth="1"/>
    <col min="4876" max="4876" width="10" style="2" customWidth="1"/>
    <col min="4877" max="4877" width="9.7109375" style="2" customWidth="1"/>
    <col min="4878" max="4878" width="10" style="2" customWidth="1"/>
    <col min="4879" max="4879" width="9.7109375" style="2" customWidth="1"/>
    <col min="4880" max="4887" width="9.85546875" style="2" bestFit="1" customWidth="1"/>
    <col min="4888" max="5120" width="9.140625" style="2"/>
    <col min="5121" max="5121" width="2" style="2" customWidth="1"/>
    <col min="5122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5703125" style="2" customWidth="1"/>
    <col min="5127" max="5131" width="0" style="2" hidden="1" customWidth="1"/>
    <col min="5132" max="5132" width="10" style="2" customWidth="1"/>
    <col min="5133" max="5133" width="9.7109375" style="2" customWidth="1"/>
    <col min="5134" max="5134" width="10" style="2" customWidth="1"/>
    <col min="5135" max="5135" width="9.7109375" style="2" customWidth="1"/>
    <col min="5136" max="5143" width="9.85546875" style="2" bestFit="1" customWidth="1"/>
    <col min="5144" max="5376" width="9.140625" style="2"/>
    <col min="5377" max="5377" width="2" style="2" customWidth="1"/>
    <col min="5378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5703125" style="2" customWidth="1"/>
    <col min="5383" max="5387" width="0" style="2" hidden="1" customWidth="1"/>
    <col min="5388" max="5388" width="10" style="2" customWidth="1"/>
    <col min="5389" max="5389" width="9.7109375" style="2" customWidth="1"/>
    <col min="5390" max="5390" width="10" style="2" customWidth="1"/>
    <col min="5391" max="5391" width="9.7109375" style="2" customWidth="1"/>
    <col min="5392" max="5399" width="9.85546875" style="2" bestFit="1" customWidth="1"/>
    <col min="5400" max="5632" width="9.140625" style="2"/>
    <col min="5633" max="5633" width="2" style="2" customWidth="1"/>
    <col min="5634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5703125" style="2" customWidth="1"/>
    <col min="5639" max="5643" width="0" style="2" hidden="1" customWidth="1"/>
    <col min="5644" max="5644" width="10" style="2" customWidth="1"/>
    <col min="5645" max="5645" width="9.7109375" style="2" customWidth="1"/>
    <col min="5646" max="5646" width="10" style="2" customWidth="1"/>
    <col min="5647" max="5647" width="9.7109375" style="2" customWidth="1"/>
    <col min="5648" max="5655" width="9.85546875" style="2" bestFit="1" customWidth="1"/>
    <col min="5656" max="5888" width="9.140625" style="2"/>
    <col min="5889" max="5889" width="2" style="2" customWidth="1"/>
    <col min="5890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5703125" style="2" customWidth="1"/>
    <col min="5895" max="5899" width="0" style="2" hidden="1" customWidth="1"/>
    <col min="5900" max="5900" width="10" style="2" customWidth="1"/>
    <col min="5901" max="5901" width="9.7109375" style="2" customWidth="1"/>
    <col min="5902" max="5902" width="10" style="2" customWidth="1"/>
    <col min="5903" max="5903" width="9.7109375" style="2" customWidth="1"/>
    <col min="5904" max="5911" width="9.85546875" style="2" bestFit="1" customWidth="1"/>
    <col min="5912" max="6144" width="9.140625" style="2"/>
    <col min="6145" max="6145" width="2" style="2" customWidth="1"/>
    <col min="6146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5703125" style="2" customWidth="1"/>
    <col min="6151" max="6155" width="0" style="2" hidden="1" customWidth="1"/>
    <col min="6156" max="6156" width="10" style="2" customWidth="1"/>
    <col min="6157" max="6157" width="9.7109375" style="2" customWidth="1"/>
    <col min="6158" max="6158" width="10" style="2" customWidth="1"/>
    <col min="6159" max="6159" width="9.7109375" style="2" customWidth="1"/>
    <col min="6160" max="6167" width="9.85546875" style="2" bestFit="1" customWidth="1"/>
    <col min="6168" max="6400" width="9.140625" style="2"/>
    <col min="6401" max="6401" width="2" style="2" customWidth="1"/>
    <col min="6402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5703125" style="2" customWidth="1"/>
    <col min="6407" max="6411" width="0" style="2" hidden="1" customWidth="1"/>
    <col min="6412" max="6412" width="10" style="2" customWidth="1"/>
    <col min="6413" max="6413" width="9.7109375" style="2" customWidth="1"/>
    <col min="6414" max="6414" width="10" style="2" customWidth="1"/>
    <col min="6415" max="6415" width="9.7109375" style="2" customWidth="1"/>
    <col min="6416" max="6423" width="9.85546875" style="2" bestFit="1" customWidth="1"/>
    <col min="6424" max="6656" width="9.140625" style="2"/>
    <col min="6657" max="6657" width="2" style="2" customWidth="1"/>
    <col min="6658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5703125" style="2" customWidth="1"/>
    <col min="6663" max="6667" width="0" style="2" hidden="1" customWidth="1"/>
    <col min="6668" max="6668" width="10" style="2" customWidth="1"/>
    <col min="6669" max="6669" width="9.7109375" style="2" customWidth="1"/>
    <col min="6670" max="6670" width="10" style="2" customWidth="1"/>
    <col min="6671" max="6671" width="9.7109375" style="2" customWidth="1"/>
    <col min="6672" max="6679" width="9.85546875" style="2" bestFit="1" customWidth="1"/>
    <col min="6680" max="6912" width="9.140625" style="2"/>
    <col min="6913" max="6913" width="2" style="2" customWidth="1"/>
    <col min="6914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5703125" style="2" customWidth="1"/>
    <col min="6919" max="6923" width="0" style="2" hidden="1" customWidth="1"/>
    <col min="6924" max="6924" width="10" style="2" customWidth="1"/>
    <col min="6925" max="6925" width="9.7109375" style="2" customWidth="1"/>
    <col min="6926" max="6926" width="10" style="2" customWidth="1"/>
    <col min="6927" max="6927" width="9.7109375" style="2" customWidth="1"/>
    <col min="6928" max="6935" width="9.85546875" style="2" bestFit="1" customWidth="1"/>
    <col min="6936" max="7168" width="9.140625" style="2"/>
    <col min="7169" max="7169" width="2" style="2" customWidth="1"/>
    <col min="7170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5703125" style="2" customWidth="1"/>
    <col min="7175" max="7179" width="0" style="2" hidden="1" customWidth="1"/>
    <col min="7180" max="7180" width="10" style="2" customWidth="1"/>
    <col min="7181" max="7181" width="9.7109375" style="2" customWidth="1"/>
    <col min="7182" max="7182" width="10" style="2" customWidth="1"/>
    <col min="7183" max="7183" width="9.7109375" style="2" customWidth="1"/>
    <col min="7184" max="7191" width="9.85546875" style="2" bestFit="1" customWidth="1"/>
    <col min="7192" max="7424" width="9.140625" style="2"/>
    <col min="7425" max="7425" width="2" style="2" customWidth="1"/>
    <col min="7426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5703125" style="2" customWidth="1"/>
    <col min="7431" max="7435" width="0" style="2" hidden="1" customWidth="1"/>
    <col min="7436" max="7436" width="10" style="2" customWidth="1"/>
    <col min="7437" max="7437" width="9.7109375" style="2" customWidth="1"/>
    <col min="7438" max="7438" width="10" style="2" customWidth="1"/>
    <col min="7439" max="7439" width="9.7109375" style="2" customWidth="1"/>
    <col min="7440" max="7447" width="9.85546875" style="2" bestFit="1" customWidth="1"/>
    <col min="7448" max="7680" width="9.140625" style="2"/>
    <col min="7681" max="7681" width="2" style="2" customWidth="1"/>
    <col min="7682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5703125" style="2" customWidth="1"/>
    <col min="7687" max="7691" width="0" style="2" hidden="1" customWidth="1"/>
    <col min="7692" max="7692" width="10" style="2" customWidth="1"/>
    <col min="7693" max="7693" width="9.7109375" style="2" customWidth="1"/>
    <col min="7694" max="7694" width="10" style="2" customWidth="1"/>
    <col min="7695" max="7695" width="9.7109375" style="2" customWidth="1"/>
    <col min="7696" max="7703" width="9.85546875" style="2" bestFit="1" customWidth="1"/>
    <col min="7704" max="7936" width="9.140625" style="2"/>
    <col min="7937" max="7937" width="2" style="2" customWidth="1"/>
    <col min="7938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5703125" style="2" customWidth="1"/>
    <col min="7943" max="7947" width="0" style="2" hidden="1" customWidth="1"/>
    <col min="7948" max="7948" width="10" style="2" customWidth="1"/>
    <col min="7949" max="7949" width="9.7109375" style="2" customWidth="1"/>
    <col min="7950" max="7950" width="10" style="2" customWidth="1"/>
    <col min="7951" max="7951" width="9.7109375" style="2" customWidth="1"/>
    <col min="7952" max="7959" width="9.85546875" style="2" bestFit="1" customWidth="1"/>
    <col min="7960" max="8192" width="9.140625" style="2"/>
    <col min="8193" max="8193" width="2" style="2" customWidth="1"/>
    <col min="8194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5703125" style="2" customWidth="1"/>
    <col min="8199" max="8203" width="0" style="2" hidden="1" customWidth="1"/>
    <col min="8204" max="8204" width="10" style="2" customWidth="1"/>
    <col min="8205" max="8205" width="9.7109375" style="2" customWidth="1"/>
    <col min="8206" max="8206" width="10" style="2" customWidth="1"/>
    <col min="8207" max="8207" width="9.7109375" style="2" customWidth="1"/>
    <col min="8208" max="8215" width="9.85546875" style="2" bestFit="1" customWidth="1"/>
    <col min="8216" max="8448" width="9.140625" style="2"/>
    <col min="8449" max="8449" width="2" style="2" customWidth="1"/>
    <col min="8450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5703125" style="2" customWidth="1"/>
    <col min="8455" max="8459" width="0" style="2" hidden="1" customWidth="1"/>
    <col min="8460" max="8460" width="10" style="2" customWidth="1"/>
    <col min="8461" max="8461" width="9.7109375" style="2" customWidth="1"/>
    <col min="8462" max="8462" width="10" style="2" customWidth="1"/>
    <col min="8463" max="8463" width="9.7109375" style="2" customWidth="1"/>
    <col min="8464" max="8471" width="9.85546875" style="2" bestFit="1" customWidth="1"/>
    <col min="8472" max="8704" width="9.140625" style="2"/>
    <col min="8705" max="8705" width="2" style="2" customWidth="1"/>
    <col min="8706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5703125" style="2" customWidth="1"/>
    <col min="8711" max="8715" width="0" style="2" hidden="1" customWidth="1"/>
    <col min="8716" max="8716" width="10" style="2" customWidth="1"/>
    <col min="8717" max="8717" width="9.7109375" style="2" customWidth="1"/>
    <col min="8718" max="8718" width="10" style="2" customWidth="1"/>
    <col min="8719" max="8719" width="9.7109375" style="2" customWidth="1"/>
    <col min="8720" max="8727" width="9.85546875" style="2" bestFit="1" customWidth="1"/>
    <col min="8728" max="8960" width="9.140625" style="2"/>
    <col min="8961" max="8961" width="2" style="2" customWidth="1"/>
    <col min="8962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5703125" style="2" customWidth="1"/>
    <col min="8967" max="8971" width="0" style="2" hidden="1" customWidth="1"/>
    <col min="8972" max="8972" width="10" style="2" customWidth="1"/>
    <col min="8973" max="8973" width="9.7109375" style="2" customWidth="1"/>
    <col min="8974" max="8974" width="10" style="2" customWidth="1"/>
    <col min="8975" max="8975" width="9.7109375" style="2" customWidth="1"/>
    <col min="8976" max="8983" width="9.85546875" style="2" bestFit="1" customWidth="1"/>
    <col min="8984" max="9216" width="9.140625" style="2"/>
    <col min="9217" max="9217" width="2" style="2" customWidth="1"/>
    <col min="9218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5703125" style="2" customWidth="1"/>
    <col min="9223" max="9227" width="0" style="2" hidden="1" customWidth="1"/>
    <col min="9228" max="9228" width="10" style="2" customWidth="1"/>
    <col min="9229" max="9229" width="9.7109375" style="2" customWidth="1"/>
    <col min="9230" max="9230" width="10" style="2" customWidth="1"/>
    <col min="9231" max="9231" width="9.7109375" style="2" customWidth="1"/>
    <col min="9232" max="9239" width="9.85546875" style="2" bestFit="1" customWidth="1"/>
    <col min="9240" max="9472" width="9.140625" style="2"/>
    <col min="9473" max="9473" width="2" style="2" customWidth="1"/>
    <col min="9474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5703125" style="2" customWidth="1"/>
    <col min="9479" max="9483" width="0" style="2" hidden="1" customWidth="1"/>
    <col min="9484" max="9484" width="10" style="2" customWidth="1"/>
    <col min="9485" max="9485" width="9.7109375" style="2" customWidth="1"/>
    <col min="9486" max="9486" width="10" style="2" customWidth="1"/>
    <col min="9487" max="9487" width="9.7109375" style="2" customWidth="1"/>
    <col min="9488" max="9495" width="9.85546875" style="2" bestFit="1" customWidth="1"/>
    <col min="9496" max="9728" width="9.140625" style="2"/>
    <col min="9729" max="9729" width="2" style="2" customWidth="1"/>
    <col min="9730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5703125" style="2" customWidth="1"/>
    <col min="9735" max="9739" width="0" style="2" hidden="1" customWidth="1"/>
    <col min="9740" max="9740" width="10" style="2" customWidth="1"/>
    <col min="9741" max="9741" width="9.7109375" style="2" customWidth="1"/>
    <col min="9742" max="9742" width="10" style="2" customWidth="1"/>
    <col min="9743" max="9743" width="9.7109375" style="2" customWidth="1"/>
    <col min="9744" max="9751" width="9.85546875" style="2" bestFit="1" customWidth="1"/>
    <col min="9752" max="9984" width="9.140625" style="2"/>
    <col min="9985" max="9985" width="2" style="2" customWidth="1"/>
    <col min="9986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5703125" style="2" customWidth="1"/>
    <col min="9991" max="9995" width="0" style="2" hidden="1" customWidth="1"/>
    <col min="9996" max="9996" width="10" style="2" customWidth="1"/>
    <col min="9997" max="9997" width="9.7109375" style="2" customWidth="1"/>
    <col min="9998" max="9998" width="10" style="2" customWidth="1"/>
    <col min="9999" max="9999" width="9.7109375" style="2" customWidth="1"/>
    <col min="10000" max="10007" width="9.85546875" style="2" bestFit="1" customWidth="1"/>
    <col min="10008" max="10240" width="9.140625" style="2"/>
    <col min="10241" max="10241" width="2" style="2" customWidth="1"/>
    <col min="10242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5703125" style="2" customWidth="1"/>
    <col min="10247" max="10251" width="0" style="2" hidden="1" customWidth="1"/>
    <col min="10252" max="10252" width="10" style="2" customWidth="1"/>
    <col min="10253" max="10253" width="9.7109375" style="2" customWidth="1"/>
    <col min="10254" max="10254" width="10" style="2" customWidth="1"/>
    <col min="10255" max="10255" width="9.7109375" style="2" customWidth="1"/>
    <col min="10256" max="10263" width="9.85546875" style="2" bestFit="1" customWidth="1"/>
    <col min="10264" max="10496" width="9.140625" style="2"/>
    <col min="10497" max="10497" width="2" style="2" customWidth="1"/>
    <col min="10498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5703125" style="2" customWidth="1"/>
    <col min="10503" max="10507" width="0" style="2" hidden="1" customWidth="1"/>
    <col min="10508" max="10508" width="10" style="2" customWidth="1"/>
    <col min="10509" max="10509" width="9.7109375" style="2" customWidth="1"/>
    <col min="10510" max="10510" width="10" style="2" customWidth="1"/>
    <col min="10511" max="10511" width="9.7109375" style="2" customWidth="1"/>
    <col min="10512" max="10519" width="9.85546875" style="2" bestFit="1" customWidth="1"/>
    <col min="10520" max="10752" width="9.140625" style="2"/>
    <col min="10753" max="10753" width="2" style="2" customWidth="1"/>
    <col min="10754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5703125" style="2" customWidth="1"/>
    <col min="10759" max="10763" width="0" style="2" hidden="1" customWidth="1"/>
    <col min="10764" max="10764" width="10" style="2" customWidth="1"/>
    <col min="10765" max="10765" width="9.7109375" style="2" customWidth="1"/>
    <col min="10766" max="10766" width="10" style="2" customWidth="1"/>
    <col min="10767" max="10767" width="9.7109375" style="2" customWidth="1"/>
    <col min="10768" max="10775" width="9.85546875" style="2" bestFit="1" customWidth="1"/>
    <col min="10776" max="11008" width="9.140625" style="2"/>
    <col min="11009" max="11009" width="2" style="2" customWidth="1"/>
    <col min="11010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5703125" style="2" customWidth="1"/>
    <col min="11015" max="11019" width="0" style="2" hidden="1" customWidth="1"/>
    <col min="11020" max="11020" width="10" style="2" customWidth="1"/>
    <col min="11021" max="11021" width="9.7109375" style="2" customWidth="1"/>
    <col min="11022" max="11022" width="10" style="2" customWidth="1"/>
    <col min="11023" max="11023" width="9.7109375" style="2" customWidth="1"/>
    <col min="11024" max="11031" width="9.85546875" style="2" bestFit="1" customWidth="1"/>
    <col min="11032" max="11264" width="9.140625" style="2"/>
    <col min="11265" max="11265" width="2" style="2" customWidth="1"/>
    <col min="11266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5703125" style="2" customWidth="1"/>
    <col min="11271" max="11275" width="0" style="2" hidden="1" customWidth="1"/>
    <col min="11276" max="11276" width="10" style="2" customWidth="1"/>
    <col min="11277" max="11277" width="9.7109375" style="2" customWidth="1"/>
    <col min="11278" max="11278" width="10" style="2" customWidth="1"/>
    <col min="11279" max="11279" width="9.7109375" style="2" customWidth="1"/>
    <col min="11280" max="11287" width="9.85546875" style="2" bestFit="1" customWidth="1"/>
    <col min="11288" max="11520" width="9.140625" style="2"/>
    <col min="11521" max="11521" width="2" style="2" customWidth="1"/>
    <col min="11522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5703125" style="2" customWidth="1"/>
    <col min="11527" max="11531" width="0" style="2" hidden="1" customWidth="1"/>
    <col min="11532" max="11532" width="10" style="2" customWidth="1"/>
    <col min="11533" max="11533" width="9.7109375" style="2" customWidth="1"/>
    <col min="11534" max="11534" width="10" style="2" customWidth="1"/>
    <col min="11535" max="11535" width="9.7109375" style="2" customWidth="1"/>
    <col min="11536" max="11543" width="9.85546875" style="2" bestFit="1" customWidth="1"/>
    <col min="11544" max="11776" width="9.140625" style="2"/>
    <col min="11777" max="11777" width="2" style="2" customWidth="1"/>
    <col min="11778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5703125" style="2" customWidth="1"/>
    <col min="11783" max="11787" width="0" style="2" hidden="1" customWidth="1"/>
    <col min="11788" max="11788" width="10" style="2" customWidth="1"/>
    <col min="11789" max="11789" width="9.7109375" style="2" customWidth="1"/>
    <col min="11790" max="11790" width="10" style="2" customWidth="1"/>
    <col min="11791" max="11791" width="9.7109375" style="2" customWidth="1"/>
    <col min="11792" max="11799" width="9.85546875" style="2" bestFit="1" customWidth="1"/>
    <col min="11800" max="12032" width="9.140625" style="2"/>
    <col min="12033" max="12033" width="2" style="2" customWidth="1"/>
    <col min="12034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5703125" style="2" customWidth="1"/>
    <col min="12039" max="12043" width="0" style="2" hidden="1" customWidth="1"/>
    <col min="12044" max="12044" width="10" style="2" customWidth="1"/>
    <col min="12045" max="12045" width="9.7109375" style="2" customWidth="1"/>
    <col min="12046" max="12046" width="10" style="2" customWidth="1"/>
    <col min="12047" max="12047" width="9.7109375" style="2" customWidth="1"/>
    <col min="12048" max="12055" width="9.85546875" style="2" bestFit="1" customWidth="1"/>
    <col min="12056" max="12288" width="9.140625" style="2"/>
    <col min="12289" max="12289" width="2" style="2" customWidth="1"/>
    <col min="12290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5703125" style="2" customWidth="1"/>
    <col min="12295" max="12299" width="0" style="2" hidden="1" customWidth="1"/>
    <col min="12300" max="12300" width="10" style="2" customWidth="1"/>
    <col min="12301" max="12301" width="9.7109375" style="2" customWidth="1"/>
    <col min="12302" max="12302" width="10" style="2" customWidth="1"/>
    <col min="12303" max="12303" width="9.7109375" style="2" customWidth="1"/>
    <col min="12304" max="12311" width="9.85546875" style="2" bestFit="1" customWidth="1"/>
    <col min="12312" max="12544" width="9.140625" style="2"/>
    <col min="12545" max="12545" width="2" style="2" customWidth="1"/>
    <col min="12546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5703125" style="2" customWidth="1"/>
    <col min="12551" max="12555" width="0" style="2" hidden="1" customWidth="1"/>
    <col min="12556" max="12556" width="10" style="2" customWidth="1"/>
    <col min="12557" max="12557" width="9.7109375" style="2" customWidth="1"/>
    <col min="12558" max="12558" width="10" style="2" customWidth="1"/>
    <col min="12559" max="12559" width="9.7109375" style="2" customWidth="1"/>
    <col min="12560" max="12567" width="9.85546875" style="2" bestFit="1" customWidth="1"/>
    <col min="12568" max="12800" width="9.140625" style="2"/>
    <col min="12801" max="12801" width="2" style="2" customWidth="1"/>
    <col min="12802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5703125" style="2" customWidth="1"/>
    <col min="12807" max="12811" width="0" style="2" hidden="1" customWidth="1"/>
    <col min="12812" max="12812" width="10" style="2" customWidth="1"/>
    <col min="12813" max="12813" width="9.7109375" style="2" customWidth="1"/>
    <col min="12814" max="12814" width="10" style="2" customWidth="1"/>
    <col min="12815" max="12815" width="9.7109375" style="2" customWidth="1"/>
    <col min="12816" max="12823" width="9.85546875" style="2" bestFit="1" customWidth="1"/>
    <col min="12824" max="13056" width="9.140625" style="2"/>
    <col min="13057" max="13057" width="2" style="2" customWidth="1"/>
    <col min="13058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5703125" style="2" customWidth="1"/>
    <col min="13063" max="13067" width="0" style="2" hidden="1" customWidth="1"/>
    <col min="13068" max="13068" width="10" style="2" customWidth="1"/>
    <col min="13069" max="13069" width="9.7109375" style="2" customWidth="1"/>
    <col min="13070" max="13070" width="10" style="2" customWidth="1"/>
    <col min="13071" max="13071" width="9.7109375" style="2" customWidth="1"/>
    <col min="13072" max="13079" width="9.85546875" style="2" bestFit="1" customWidth="1"/>
    <col min="13080" max="13312" width="9.140625" style="2"/>
    <col min="13313" max="13313" width="2" style="2" customWidth="1"/>
    <col min="13314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5703125" style="2" customWidth="1"/>
    <col min="13319" max="13323" width="0" style="2" hidden="1" customWidth="1"/>
    <col min="13324" max="13324" width="10" style="2" customWidth="1"/>
    <col min="13325" max="13325" width="9.7109375" style="2" customWidth="1"/>
    <col min="13326" max="13326" width="10" style="2" customWidth="1"/>
    <col min="13327" max="13327" width="9.7109375" style="2" customWidth="1"/>
    <col min="13328" max="13335" width="9.85546875" style="2" bestFit="1" customWidth="1"/>
    <col min="13336" max="13568" width="9.140625" style="2"/>
    <col min="13569" max="13569" width="2" style="2" customWidth="1"/>
    <col min="13570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5703125" style="2" customWidth="1"/>
    <col min="13575" max="13579" width="0" style="2" hidden="1" customWidth="1"/>
    <col min="13580" max="13580" width="10" style="2" customWidth="1"/>
    <col min="13581" max="13581" width="9.7109375" style="2" customWidth="1"/>
    <col min="13582" max="13582" width="10" style="2" customWidth="1"/>
    <col min="13583" max="13583" width="9.7109375" style="2" customWidth="1"/>
    <col min="13584" max="13591" width="9.85546875" style="2" bestFit="1" customWidth="1"/>
    <col min="13592" max="13824" width="9.140625" style="2"/>
    <col min="13825" max="13825" width="2" style="2" customWidth="1"/>
    <col min="13826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5703125" style="2" customWidth="1"/>
    <col min="13831" max="13835" width="0" style="2" hidden="1" customWidth="1"/>
    <col min="13836" max="13836" width="10" style="2" customWidth="1"/>
    <col min="13837" max="13837" width="9.7109375" style="2" customWidth="1"/>
    <col min="13838" max="13838" width="10" style="2" customWidth="1"/>
    <col min="13839" max="13839" width="9.7109375" style="2" customWidth="1"/>
    <col min="13840" max="13847" width="9.85546875" style="2" bestFit="1" customWidth="1"/>
    <col min="13848" max="14080" width="9.140625" style="2"/>
    <col min="14081" max="14081" width="2" style="2" customWidth="1"/>
    <col min="14082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5703125" style="2" customWidth="1"/>
    <col min="14087" max="14091" width="0" style="2" hidden="1" customWidth="1"/>
    <col min="14092" max="14092" width="10" style="2" customWidth="1"/>
    <col min="14093" max="14093" width="9.7109375" style="2" customWidth="1"/>
    <col min="14094" max="14094" width="10" style="2" customWidth="1"/>
    <col min="14095" max="14095" width="9.7109375" style="2" customWidth="1"/>
    <col min="14096" max="14103" width="9.85546875" style="2" bestFit="1" customWidth="1"/>
    <col min="14104" max="14336" width="9.140625" style="2"/>
    <col min="14337" max="14337" width="2" style="2" customWidth="1"/>
    <col min="14338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5703125" style="2" customWidth="1"/>
    <col min="14343" max="14347" width="0" style="2" hidden="1" customWidth="1"/>
    <col min="14348" max="14348" width="10" style="2" customWidth="1"/>
    <col min="14349" max="14349" width="9.7109375" style="2" customWidth="1"/>
    <col min="14350" max="14350" width="10" style="2" customWidth="1"/>
    <col min="14351" max="14351" width="9.7109375" style="2" customWidth="1"/>
    <col min="14352" max="14359" width="9.85546875" style="2" bestFit="1" customWidth="1"/>
    <col min="14360" max="14592" width="9.140625" style="2"/>
    <col min="14593" max="14593" width="2" style="2" customWidth="1"/>
    <col min="14594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5703125" style="2" customWidth="1"/>
    <col min="14599" max="14603" width="0" style="2" hidden="1" customWidth="1"/>
    <col min="14604" max="14604" width="10" style="2" customWidth="1"/>
    <col min="14605" max="14605" width="9.7109375" style="2" customWidth="1"/>
    <col min="14606" max="14606" width="10" style="2" customWidth="1"/>
    <col min="14607" max="14607" width="9.7109375" style="2" customWidth="1"/>
    <col min="14608" max="14615" width="9.85546875" style="2" bestFit="1" customWidth="1"/>
    <col min="14616" max="14848" width="9.140625" style="2"/>
    <col min="14849" max="14849" width="2" style="2" customWidth="1"/>
    <col min="14850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5703125" style="2" customWidth="1"/>
    <col min="14855" max="14859" width="0" style="2" hidden="1" customWidth="1"/>
    <col min="14860" max="14860" width="10" style="2" customWidth="1"/>
    <col min="14861" max="14861" width="9.7109375" style="2" customWidth="1"/>
    <col min="14862" max="14862" width="10" style="2" customWidth="1"/>
    <col min="14863" max="14863" width="9.7109375" style="2" customWidth="1"/>
    <col min="14864" max="14871" width="9.85546875" style="2" bestFit="1" customWidth="1"/>
    <col min="14872" max="15104" width="9.140625" style="2"/>
    <col min="15105" max="15105" width="2" style="2" customWidth="1"/>
    <col min="15106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5703125" style="2" customWidth="1"/>
    <col min="15111" max="15115" width="0" style="2" hidden="1" customWidth="1"/>
    <col min="15116" max="15116" width="10" style="2" customWidth="1"/>
    <col min="15117" max="15117" width="9.7109375" style="2" customWidth="1"/>
    <col min="15118" max="15118" width="10" style="2" customWidth="1"/>
    <col min="15119" max="15119" width="9.7109375" style="2" customWidth="1"/>
    <col min="15120" max="15127" width="9.85546875" style="2" bestFit="1" customWidth="1"/>
    <col min="15128" max="15360" width="9.140625" style="2"/>
    <col min="15361" max="15361" width="2" style="2" customWidth="1"/>
    <col min="15362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5703125" style="2" customWidth="1"/>
    <col min="15367" max="15371" width="0" style="2" hidden="1" customWidth="1"/>
    <col min="15372" max="15372" width="10" style="2" customWidth="1"/>
    <col min="15373" max="15373" width="9.7109375" style="2" customWidth="1"/>
    <col min="15374" max="15374" width="10" style="2" customWidth="1"/>
    <col min="15375" max="15375" width="9.7109375" style="2" customWidth="1"/>
    <col min="15376" max="15383" width="9.85546875" style="2" bestFit="1" customWidth="1"/>
    <col min="15384" max="15616" width="9.140625" style="2"/>
    <col min="15617" max="15617" width="2" style="2" customWidth="1"/>
    <col min="15618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5703125" style="2" customWidth="1"/>
    <col min="15623" max="15627" width="0" style="2" hidden="1" customWidth="1"/>
    <col min="15628" max="15628" width="10" style="2" customWidth="1"/>
    <col min="15629" max="15629" width="9.7109375" style="2" customWidth="1"/>
    <col min="15630" max="15630" width="10" style="2" customWidth="1"/>
    <col min="15631" max="15631" width="9.7109375" style="2" customWidth="1"/>
    <col min="15632" max="15639" width="9.85546875" style="2" bestFit="1" customWidth="1"/>
    <col min="15640" max="15872" width="9.140625" style="2"/>
    <col min="15873" max="15873" width="2" style="2" customWidth="1"/>
    <col min="15874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5703125" style="2" customWidth="1"/>
    <col min="15879" max="15883" width="0" style="2" hidden="1" customWidth="1"/>
    <col min="15884" max="15884" width="10" style="2" customWidth="1"/>
    <col min="15885" max="15885" width="9.7109375" style="2" customWidth="1"/>
    <col min="15886" max="15886" width="10" style="2" customWidth="1"/>
    <col min="15887" max="15887" width="9.7109375" style="2" customWidth="1"/>
    <col min="15888" max="15895" width="9.85546875" style="2" bestFit="1" customWidth="1"/>
    <col min="15896" max="16128" width="9.140625" style="2"/>
    <col min="16129" max="16129" width="2" style="2" customWidth="1"/>
    <col min="16130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5703125" style="2" customWidth="1"/>
    <col min="16135" max="16139" width="0" style="2" hidden="1" customWidth="1"/>
    <col min="16140" max="16140" width="10" style="2" customWidth="1"/>
    <col min="16141" max="16141" width="9.7109375" style="2" customWidth="1"/>
    <col min="16142" max="16142" width="10" style="2" customWidth="1"/>
    <col min="16143" max="16143" width="9.7109375" style="2" customWidth="1"/>
    <col min="16144" max="16151" width="9.85546875" style="2" bestFit="1" customWidth="1"/>
    <col min="16152" max="16384" width="9.140625" style="2"/>
  </cols>
  <sheetData>
    <row r="1" spans="1:23">
      <c r="A1" s="1" t="s">
        <v>25</v>
      </c>
    </row>
    <row r="2" spans="1:23">
      <c r="A2" s="1" t="s">
        <v>69</v>
      </c>
      <c r="F2" s="1" t="s">
        <v>35</v>
      </c>
    </row>
    <row r="3" spans="1:23">
      <c r="A3" s="2" t="s">
        <v>0</v>
      </c>
      <c r="L3" s="2" t="s">
        <v>35</v>
      </c>
    </row>
    <row r="4" spans="1:23" ht="12" customHeight="1"/>
    <row r="5" spans="1:23" ht="19.5" customHeight="1">
      <c r="A5" s="177" t="s">
        <v>1</v>
      </c>
      <c r="B5" s="178"/>
      <c r="C5" s="178"/>
      <c r="D5" s="178"/>
      <c r="E5" s="178"/>
      <c r="F5" s="178"/>
      <c r="G5" s="76" t="s">
        <v>28</v>
      </c>
      <c r="H5" s="76" t="s">
        <v>29</v>
      </c>
      <c r="I5" s="76" t="s">
        <v>39</v>
      </c>
      <c r="J5" s="76" t="s">
        <v>31</v>
      </c>
      <c r="K5" s="76" t="s">
        <v>32</v>
      </c>
      <c r="L5" s="77" t="s">
        <v>5</v>
      </c>
      <c r="M5" s="77" t="s">
        <v>23</v>
      </c>
      <c r="N5" s="77" t="s">
        <v>24</v>
      </c>
      <c r="O5" s="77" t="s">
        <v>26</v>
      </c>
      <c r="P5" s="77" t="s">
        <v>27</v>
      </c>
      <c r="Q5" s="77" t="s">
        <v>36</v>
      </c>
      <c r="R5" s="77" t="s">
        <v>28</v>
      </c>
      <c r="S5" s="77" t="s">
        <v>29</v>
      </c>
      <c r="T5" s="77" t="s">
        <v>39</v>
      </c>
      <c r="U5" s="77" t="s">
        <v>31</v>
      </c>
      <c r="V5" s="77" t="s">
        <v>32</v>
      </c>
      <c r="W5" s="78" t="s">
        <v>33</v>
      </c>
    </row>
    <row r="6" spans="1:23" ht="9" customHeight="1"/>
    <row r="7" spans="1:23">
      <c r="A7" s="1" t="s">
        <v>17</v>
      </c>
      <c r="E7" s="1"/>
      <c r="G7" s="41" t="e">
        <v>#REF!</v>
      </c>
      <c r="H7" s="41" t="e">
        <v>#REF!</v>
      </c>
      <c r="I7" s="41" t="e">
        <v>#REF!</v>
      </c>
      <c r="J7" s="41" t="e">
        <v>#REF!</v>
      </c>
      <c r="K7" s="41" t="e">
        <v>#REF!</v>
      </c>
      <c r="L7" s="41">
        <v>3731999</v>
      </c>
      <c r="M7" s="41">
        <v>3771052</v>
      </c>
      <c r="N7" s="41">
        <v>3881349</v>
      </c>
      <c r="O7" s="41">
        <v>3871699</v>
      </c>
      <c r="P7" s="41">
        <v>3926910</v>
      </c>
      <c r="Q7" s="41">
        <v>3963527</v>
      </c>
      <c r="R7" s="41">
        <v>3966069</v>
      </c>
      <c r="S7" s="41">
        <v>4024161</v>
      </c>
      <c r="T7" s="41">
        <v>4100668</v>
      </c>
      <c r="U7" s="41">
        <v>4184349</v>
      </c>
      <c r="V7" s="41">
        <v>4236411</v>
      </c>
      <c r="W7" s="41">
        <v>4220903</v>
      </c>
    </row>
    <row r="8" spans="1:23" ht="6.75" customHeight="1"/>
    <row r="9" spans="1:23">
      <c r="A9" s="1" t="s">
        <v>59</v>
      </c>
      <c r="B9" s="1"/>
      <c r="C9" s="1"/>
      <c r="D9" s="1"/>
      <c r="E9" s="1"/>
      <c r="F9" s="1"/>
      <c r="G9" s="13" t="e">
        <v>#REF!</v>
      </c>
      <c r="H9" s="13" t="e">
        <v>#REF!</v>
      </c>
      <c r="I9" s="13" t="e">
        <v>#REF!</v>
      </c>
      <c r="J9" s="13" t="e">
        <v>#REF!</v>
      </c>
      <c r="K9" s="13" t="e">
        <v>#REF!</v>
      </c>
      <c r="L9" s="13">
        <v>2226865</v>
      </c>
      <c r="M9" s="13">
        <v>2250415</v>
      </c>
      <c r="N9" s="13">
        <v>2286678</v>
      </c>
      <c r="O9" s="13">
        <v>2301412</v>
      </c>
      <c r="P9" s="13">
        <v>2297356</v>
      </c>
      <c r="Q9" s="13">
        <v>2303223</v>
      </c>
      <c r="R9" s="13">
        <v>2338569</v>
      </c>
      <c r="S9" s="13">
        <v>2359154</v>
      </c>
      <c r="T9" s="13">
        <v>2369434</v>
      </c>
      <c r="U9" s="13">
        <v>2379751</v>
      </c>
      <c r="V9" s="13">
        <v>2404158</v>
      </c>
      <c r="W9" s="13">
        <v>2414428</v>
      </c>
    </row>
    <row r="10" spans="1:23">
      <c r="C10" s="2" t="s">
        <v>9</v>
      </c>
      <c r="G10" s="14" t="e">
        <v>#REF!</v>
      </c>
      <c r="H10" s="14" t="e">
        <v>#REF!</v>
      </c>
      <c r="I10" s="14" t="e">
        <v>#REF!</v>
      </c>
      <c r="J10" s="14" t="e">
        <v>#REF!</v>
      </c>
      <c r="K10" s="14" t="e">
        <v>#REF!</v>
      </c>
      <c r="L10" s="14">
        <v>2224571</v>
      </c>
      <c r="M10" s="14">
        <v>2248121</v>
      </c>
      <c r="N10" s="14">
        <v>2284384</v>
      </c>
      <c r="O10" s="14">
        <v>2299118</v>
      </c>
      <c r="P10" s="14">
        <v>2295062</v>
      </c>
      <c r="Q10" s="14">
        <v>2300929</v>
      </c>
      <c r="R10" s="14">
        <v>2336275</v>
      </c>
      <c r="S10" s="14">
        <v>2356860</v>
      </c>
      <c r="T10" s="14">
        <v>2367140</v>
      </c>
      <c r="U10" s="14">
        <v>2377457</v>
      </c>
      <c r="V10" s="14">
        <v>2401864</v>
      </c>
      <c r="W10" s="14">
        <v>2412134</v>
      </c>
    </row>
    <row r="11" spans="1:23">
      <c r="D11" s="2" t="s">
        <v>88</v>
      </c>
      <c r="G11" s="14" t="e">
        <v>#REF!</v>
      </c>
      <c r="H11" s="14" t="e">
        <v>#REF!</v>
      </c>
      <c r="I11" s="14" t="e">
        <v>#REF!</v>
      </c>
      <c r="J11" s="14" t="e">
        <v>#REF!</v>
      </c>
      <c r="K11" s="14" t="e">
        <v>#REF!</v>
      </c>
      <c r="L11" s="15">
        <v>2204492</v>
      </c>
      <c r="M11" s="15">
        <v>2228043</v>
      </c>
      <c r="N11" s="15">
        <v>2264305</v>
      </c>
      <c r="O11" s="15">
        <v>2279039</v>
      </c>
      <c r="P11" s="15">
        <v>2274981</v>
      </c>
      <c r="Q11" s="15">
        <v>2280848</v>
      </c>
      <c r="R11" s="15">
        <v>2316194</v>
      </c>
      <c r="S11" s="15">
        <v>2336778</v>
      </c>
      <c r="T11" s="15">
        <v>2347057</v>
      </c>
      <c r="U11" s="15">
        <v>2357372</v>
      </c>
      <c r="V11" s="15">
        <v>2381778</v>
      </c>
      <c r="W11" s="15">
        <v>2398548</v>
      </c>
    </row>
    <row r="12" spans="1:23">
      <c r="D12" s="2" t="s">
        <v>2</v>
      </c>
      <c r="L12" s="15">
        <v>20079</v>
      </c>
      <c r="M12" s="15">
        <v>20078</v>
      </c>
      <c r="N12" s="15">
        <v>20079</v>
      </c>
      <c r="O12" s="15">
        <v>20079</v>
      </c>
      <c r="P12" s="15">
        <v>20081</v>
      </c>
      <c r="Q12" s="15">
        <v>20081</v>
      </c>
      <c r="R12" s="15">
        <v>20081</v>
      </c>
      <c r="S12" s="15">
        <v>20082</v>
      </c>
      <c r="T12" s="15">
        <v>20083</v>
      </c>
      <c r="U12" s="15">
        <v>20085</v>
      </c>
      <c r="V12" s="15">
        <v>20086</v>
      </c>
      <c r="W12" s="15">
        <v>13586</v>
      </c>
    </row>
    <row r="13" spans="1:23">
      <c r="D13" s="2" t="s">
        <v>3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ht="6.75" customHeight="1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C15" s="2" t="s">
        <v>60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2294</v>
      </c>
      <c r="M15" s="14">
        <v>2294</v>
      </c>
      <c r="N15" s="14">
        <v>2294</v>
      </c>
      <c r="O15" s="14">
        <v>2294</v>
      </c>
      <c r="P15" s="14">
        <v>2294</v>
      </c>
      <c r="Q15" s="14">
        <v>2294</v>
      </c>
      <c r="R15" s="14">
        <v>2294</v>
      </c>
      <c r="S15" s="14">
        <v>2294</v>
      </c>
      <c r="T15" s="14">
        <v>2294</v>
      </c>
      <c r="U15" s="14">
        <v>2294</v>
      </c>
      <c r="V15" s="14">
        <v>2294</v>
      </c>
      <c r="W15" s="14">
        <v>2294</v>
      </c>
    </row>
    <row r="16" spans="1:23" hidden="1">
      <c r="D16" s="2" t="s">
        <v>12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>
      <c r="D17" s="2" t="s">
        <v>13</v>
      </c>
      <c r="L17" s="15">
        <v>2288</v>
      </c>
      <c r="M17" s="15">
        <v>2288</v>
      </c>
      <c r="N17" s="15">
        <v>2288</v>
      </c>
      <c r="O17" s="15">
        <v>2288</v>
      </c>
      <c r="P17" s="15">
        <v>2288</v>
      </c>
      <c r="Q17" s="15">
        <v>2288</v>
      </c>
      <c r="R17" s="15">
        <v>2288</v>
      </c>
      <c r="S17" s="15">
        <v>2288</v>
      </c>
      <c r="T17" s="15">
        <v>2288</v>
      </c>
      <c r="U17" s="15">
        <v>2288</v>
      </c>
      <c r="V17" s="15">
        <v>2288</v>
      </c>
      <c r="W17" s="15">
        <v>2288</v>
      </c>
    </row>
    <row r="18" spans="1:23" hidden="1">
      <c r="D18" s="2" t="s">
        <v>14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>
      <c r="D19" s="2" t="s">
        <v>15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  <c r="R19" s="15">
        <v>6</v>
      </c>
      <c r="S19" s="15">
        <v>6</v>
      </c>
      <c r="T19" s="15">
        <v>6</v>
      </c>
      <c r="U19" s="15">
        <v>6</v>
      </c>
      <c r="V19" s="15">
        <v>6</v>
      </c>
      <c r="W19" s="15">
        <v>6</v>
      </c>
    </row>
    <row r="20" spans="1:23" ht="4.5" customHeight="1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" t="s">
        <v>125</v>
      </c>
      <c r="B21" s="1"/>
      <c r="C21" s="1"/>
      <c r="D21" s="1"/>
      <c r="E21" s="1"/>
      <c r="F21" s="1"/>
      <c r="G21" s="13" t="e">
        <v>#REF!</v>
      </c>
      <c r="H21" s="13" t="e">
        <v>#REF!</v>
      </c>
      <c r="I21" s="13" t="e">
        <v>#REF!</v>
      </c>
      <c r="J21" s="13" t="e">
        <v>#REF!</v>
      </c>
      <c r="K21" s="13" t="e">
        <v>#REF!</v>
      </c>
      <c r="L21" s="13">
        <v>1505134</v>
      </c>
      <c r="M21" s="13">
        <v>1520637</v>
      </c>
      <c r="N21" s="13">
        <v>1594671</v>
      </c>
      <c r="O21" s="13">
        <v>1570287</v>
      </c>
      <c r="P21" s="13">
        <v>1629554</v>
      </c>
      <c r="Q21" s="13">
        <v>1660304</v>
      </c>
      <c r="R21" s="13">
        <v>1627500</v>
      </c>
      <c r="S21" s="13">
        <v>1665007</v>
      </c>
      <c r="T21" s="13">
        <v>1731234</v>
      </c>
      <c r="U21" s="13">
        <v>1804598</v>
      </c>
      <c r="V21" s="13">
        <v>1832253</v>
      </c>
      <c r="W21" s="13">
        <v>1806475</v>
      </c>
    </row>
    <row r="22" spans="1:23">
      <c r="C22" s="2" t="s">
        <v>9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624421</v>
      </c>
      <c r="M22" s="14">
        <v>622243</v>
      </c>
      <c r="N22" s="14">
        <v>663422</v>
      </c>
      <c r="O22" s="14">
        <v>664556</v>
      </c>
      <c r="P22" s="14">
        <v>685751</v>
      </c>
      <c r="Q22" s="14">
        <v>696876</v>
      </c>
      <c r="R22" s="14">
        <v>679531</v>
      </c>
      <c r="S22" s="14">
        <v>689753</v>
      </c>
      <c r="T22" s="14">
        <v>726299</v>
      </c>
      <c r="U22" s="14">
        <v>771379</v>
      </c>
      <c r="V22" s="14">
        <v>796429</v>
      </c>
      <c r="W22" s="14">
        <v>793465</v>
      </c>
    </row>
    <row r="23" spans="1:23">
      <c r="D23" s="2" t="s">
        <v>2</v>
      </c>
      <c r="L23" s="15">
        <v>544170</v>
      </c>
      <c r="M23" s="15">
        <v>541930</v>
      </c>
      <c r="N23" s="15">
        <v>576315</v>
      </c>
      <c r="O23" s="15">
        <v>580375</v>
      </c>
      <c r="P23" s="15">
        <v>599472</v>
      </c>
      <c r="Q23" s="15">
        <v>609900</v>
      </c>
      <c r="R23" s="15">
        <v>595390</v>
      </c>
      <c r="S23" s="15">
        <v>628945</v>
      </c>
      <c r="T23" s="15">
        <v>660764</v>
      </c>
      <c r="U23" s="15">
        <v>700943</v>
      </c>
      <c r="V23" s="15">
        <v>724153</v>
      </c>
      <c r="W23" s="15">
        <v>720867</v>
      </c>
    </row>
    <row r="24" spans="1:23">
      <c r="D24" s="2" t="s">
        <v>3</v>
      </c>
      <c r="L24" s="15">
        <v>80251</v>
      </c>
      <c r="M24" s="15">
        <v>80313</v>
      </c>
      <c r="N24" s="15">
        <v>87107</v>
      </c>
      <c r="O24" s="15">
        <v>84181</v>
      </c>
      <c r="P24" s="15">
        <v>86279</v>
      </c>
      <c r="Q24" s="15">
        <v>86976</v>
      </c>
      <c r="R24" s="15">
        <v>84141</v>
      </c>
      <c r="S24" s="15">
        <v>60808</v>
      </c>
      <c r="T24" s="15">
        <v>65535</v>
      </c>
      <c r="U24" s="15">
        <v>70436</v>
      </c>
      <c r="V24" s="15">
        <v>72276</v>
      </c>
      <c r="W24" s="15">
        <v>72598</v>
      </c>
    </row>
    <row r="25" spans="1:23" ht="6" customHeight="1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C26" s="2" t="s">
        <v>60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65</v>
      </c>
      <c r="M26" s="14">
        <v>66</v>
      </c>
      <c r="N26" s="14">
        <v>69</v>
      </c>
      <c r="O26" s="14">
        <v>69</v>
      </c>
      <c r="P26" s="14">
        <v>72</v>
      </c>
      <c r="Q26" s="14">
        <v>70</v>
      </c>
      <c r="R26" s="14">
        <v>63</v>
      </c>
      <c r="S26" s="14">
        <v>63</v>
      </c>
      <c r="T26" s="14">
        <v>65</v>
      </c>
      <c r="U26" s="14">
        <v>65</v>
      </c>
      <c r="V26" s="14">
        <v>65</v>
      </c>
      <c r="W26" s="14">
        <v>61</v>
      </c>
    </row>
    <row r="27" spans="1:23" hidden="1">
      <c r="D27" s="2" t="s">
        <v>61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</row>
    <row r="28" spans="1:23">
      <c r="D28" s="2" t="s">
        <v>62</v>
      </c>
      <c r="L28" s="15">
        <v>14</v>
      </c>
      <c r="M28" s="15">
        <v>14</v>
      </c>
      <c r="N28" s="15">
        <v>15</v>
      </c>
      <c r="O28" s="15">
        <v>15</v>
      </c>
      <c r="P28" s="15">
        <v>15</v>
      </c>
      <c r="Q28" s="15">
        <v>16</v>
      </c>
      <c r="R28" s="15">
        <v>14</v>
      </c>
      <c r="S28" s="15">
        <v>14</v>
      </c>
      <c r="T28" s="15">
        <v>14</v>
      </c>
      <c r="U28" s="15">
        <v>15</v>
      </c>
      <c r="V28" s="15">
        <v>15</v>
      </c>
      <c r="W28" s="15">
        <v>15</v>
      </c>
    </row>
    <row r="29" spans="1:23" hidden="1">
      <c r="D29" s="2" t="s">
        <v>63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</row>
    <row r="30" spans="1:23">
      <c r="D30" s="2" t="s">
        <v>64</v>
      </c>
      <c r="L30" s="15">
        <v>51</v>
      </c>
      <c r="M30" s="15">
        <v>52</v>
      </c>
      <c r="N30" s="15">
        <v>54</v>
      </c>
      <c r="O30" s="15">
        <v>54</v>
      </c>
      <c r="P30" s="15">
        <v>57</v>
      </c>
      <c r="Q30" s="15">
        <v>54</v>
      </c>
      <c r="R30" s="15">
        <v>49</v>
      </c>
      <c r="S30" s="15">
        <v>49</v>
      </c>
      <c r="T30" s="15">
        <v>51</v>
      </c>
      <c r="U30" s="15">
        <v>50</v>
      </c>
      <c r="V30" s="15">
        <v>50</v>
      </c>
      <c r="W30" s="15">
        <v>46</v>
      </c>
    </row>
    <row r="31" spans="1:23" hidden="1">
      <c r="D31" s="2" t="s">
        <v>65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</row>
    <row r="32" spans="1:23" ht="8.25" customHeight="1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C33" s="2" t="s">
        <v>66</v>
      </c>
      <c r="L33" s="15">
        <v>880648</v>
      </c>
      <c r="M33" s="15">
        <v>898328</v>
      </c>
      <c r="N33" s="15">
        <v>931180</v>
      </c>
      <c r="O33" s="15">
        <v>905662</v>
      </c>
      <c r="P33" s="15">
        <v>943731</v>
      </c>
      <c r="Q33" s="15">
        <v>963358</v>
      </c>
      <c r="R33" s="15">
        <v>947906</v>
      </c>
      <c r="S33" s="15">
        <v>975191</v>
      </c>
      <c r="T33" s="15">
        <v>1004870</v>
      </c>
      <c r="U33" s="15">
        <v>1033154</v>
      </c>
      <c r="V33" s="15">
        <v>1035759</v>
      </c>
      <c r="W33" s="15">
        <v>1012949</v>
      </c>
    </row>
    <row r="34" spans="1:23">
      <c r="A34" s="9"/>
      <c r="B34" s="9"/>
      <c r="C34" s="9"/>
      <c r="D34" s="9"/>
      <c r="E34" s="9"/>
      <c r="F34" s="9"/>
    </row>
    <row r="35" spans="1:23">
      <c r="A35" s="2" t="s">
        <v>67</v>
      </c>
    </row>
    <row r="36" spans="1:23" ht="6" customHeight="1">
      <c r="A36" s="1"/>
    </row>
    <row r="37" spans="1:23">
      <c r="A37" s="79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>
        <v>40.700000000000003</v>
      </c>
      <c r="M37" s="79">
        <v>40.5</v>
      </c>
      <c r="N37" s="79">
        <v>41.8</v>
      </c>
      <c r="O37" s="79">
        <v>42.15</v>
      </c>
      <c r="P37" s="79">
        <v>43.95</v>
      </c>
      <c r="Q37" s="79">
        <v>44.8</v>
      </c>
      <c r="R37" s="79">
        <v>44.15</v>
      </c>
      <c r="S37" s="79">
        <v>45.65</v>
      </c>
      <c r="T37" s="79">
        <v>47.05</v>
      </c>
      <c r="U37" s="79">
        <v>48.7</v>
      </c>
      <c r="V37" s="79">
        <v>48.8</v>
      </c>
      <c r="W37" s="79">
        <v>47.4</v>
      </c>
    </row>
    <row r="38" spans="1:23" ht="6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</row>
    <row r="39" spans="1:2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</row>
    <row r="40" spans="1:23">
      <c r="A40" s="11" t="s">
        <v>22</v>
      </c>
      <c r="G40" s="2"/>
      <c r="H40" s="2"/>
      <c r="I40" s="2"/>
      <c r="J40" s="2"/>
      <c r="K40" s="2"/>
    </row>
    <row r="41" spans="1:23">
      <c r="A41" s="11" t="s">
        <v>68</v>
      </c>
      <c r="G41" s="2"/>
      <c r="H41" s="2"/>
      <c r="I41" s="2"/>
      <c r="J41" s="2"/>
      <c r="K41" s="2"/>
    </row>
    <row r="42" spans="1:23">
      <c r="A42" s="48" t="s">
        <v>129</v>
      </c>
      <c r="G42" s="2"/>
      <c r="H42" s="2"/>
      <c r="I42" s="2"/>
      <c r="J42" s="2"/>
      <c r="K42" s="2"/>
    </row>
    <row r="43" spans="1:2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</row>
    <row r="44" spans="1:23">
      <c r="A44" s="11"/>
      <c r="F44" s="11"/>
    </row>
    <row r="45" spans="1:23">
      <c r="F45" s="11"/>
    </row>
    <row r="46" spans="1:23">
      <c r="A46" s="11" t="s">
        <v>35</v>
      </c>
      <c r="F46" s="11"/>
    </row>
    <row r="47" spans="1:23">
      <c r="F47" s="11"/>
    </row>
    <row r="54" spans="12:12">
      <c r="L54" s="79"/>
    </row>
    <row r="55" spans="12:12">
      <c r="L55" s="11"/>
    </row>
    <row r="56" spans="12:12">
      <c r="L56" s="11"/>
    </row>
    <row r="57" spans="12:12">
      <c r="L57" s="11"/>
    </row>
    <row r="58" spans="12:12">
      <c r="L58" s="15"/>
    </row>
  </sheetData>
  <mergeCells count="1">
    <mergeCell ref="A5:F5"/>
  </mergeCells>
  <pageMargins left="0.55118110236220474" right="0" top="0.78740157480314965" bottom="0.39370078740157483" header="0" footer="0"/>
  <pageSetup paperSize="9" scale="66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CC66-4562-471B-A1A8-C648F9750808}">
  <sheetPr>
    <pageSetUpPr fitToPage="1"/>
  </sheetPr>
  <dimension ref="A1:R46"/>
  <sheetViews>
    <sheetView workbookViewId="0">
      <selection activeCell="G22" sqref="G22"/>
    </sheetView>
  </sheetViews>
  <sheetFormatPr defaultRowHeight="12.75"/>
  <cols>
    <col min="1" max="1" width="2.28515625" style="98" customWidth="1"/>
    <col min="2" max="2" width="1.7109375" style="98" customWidth="1"/>
    <col min="3" max="3" width="2" style="98" customWidth="1"/>
    <col min="4" max="4" width="1.85546875" style="98" customWidth="1"/>
    <col min="5" max="5" width="1.7109375" style="98" customWidth="1"/>
    <col min="6" max="6" width="16.28515625" style="98" customWidth="1"/>
    <col min="7" max="18" width="9.28515625" style="98" customWidth="1"/>
    <col min="19" max="256" width="9.140625" style="98"/>
    <col min="257" max="257" width="2.28515625" style="98" customWidth="1"/>
    <col min="258" max="258" width="1.7109375" style="98" customWidth="1"/>
    <col min="259" max="259" width="2" style="98" customWidth="1"/>
    <col min="260" max="260" width="1.85546875" style="98" customWidth="1"/>
    <col min="261" max="261" width="1.7109375" style="98" customWidth="1"/>
    <col min="262" max="262" width="16.28515625" style="98" customWidth="1"/>
    <col min="263" max="274" width="9.28515625" style="98" customWidth="1"/>
    <col min="275" max="512" width="9.140625" style="98"/>
    <col min="513" max="513" width="2.28515625" style="98" customWidth="1"/>
    <col min="514" max="514" width="1.7109375" style="98" customWidth="1"/>
    <col min="515" max="515" width="2" style="98" customWidth="1"/>
    <col min="516" max="516" width="1.85546875" style="98" customWidth="1"/>
    <col min="517" max="517" width="1.7109375" style="98" customWidth="1"/>
    <col min="518" max="518" width="16.28515625" style="98" customWidth="1"/>
    <col min="519" max="530" width="9.28515625" style="98" customWidth="1"/>
    <col min="531" max="768" width="9.140625" style="98"/>
    <col min="769" max="769" width="2.28515625" style="98" customWidth="1"/>
    <col min="770" max="770" width="1.7109375" style="98" customWidth="1"/>
    <col min="771" max="771" width="2" style="98" customWidth="1"/>
    <col min="772" max="772" width="1.85546875" style="98" customWidth="1"/>
    <col min="773" max="773" width="1.7109375" style="98" customWidth="1"/>
    <col min="774" max="774" width="16.28515625" style="98" customWidth="1"/>
    <col min="775" max="786" width="9.28515625" style="98" customWidth="1"/>
    <col min="787" max="1024" width="9.140625" style="98"/>
    <col min="1025" max="1025" width="2.28515625" style="98" customWidth="1"/>
    <col min="1026" max="1026" width="1.7109375" style="98" customWidth="1"/>
    <col min="1027" max="1027" width="2" style="98" customWidth="1"/>
    <col min="1028" max="1028" width="1.85546875" style="98" customWidth="1"/>
    <col min="1029" max="1029" width="1.7109375" style="98" customWidth="1"/>
    <col min="1030" max="1030" width="16.28515625" style="98" customWidth="1"/>
    <col min="1031" max="1042" width="9.28515625" style="98" customWidth="1"/>
    <col min="1043" max="1280" width="9.140625" style="98"/>
    <col min="1281" max="1281" width="2.28515625" style="98" customWidth="1"/>
    <col min="1282" max="1282" width="1.7109375" style="98" customWidth="1"/>
    <col min="1283" max="1283" width="2" style="98" customWidth="1"/>
    <col min="1284" max="1284" width="1.85546875" style="98" customWidth="1"/>
    <col min="1285" max="1285" width="1.7109375" style="98" customWidth="1"/>
    <col min="1286" max="1286" width="16.28515625" style="98" customWidth="1"/>
    <col min="1287" max="1298" width="9.28515625" style="98" customWidth="1"/>
    <col min="1299" max="1536" width="9.140625" style="98"/>
    <col min="1537" max="1537" width="2.28515625" style="98" customWidth="1"/>
    <col min="1538" max="1538" width="1.7109375" style="98" customWidth="1"/>
    <col min="1539" max="1539" width="2" style="98" customWidth="1"/>
    <col min="1540" max="1540" width="1.85546875" style="98" customWidth="1"/>
    <col min="1541" max="1541" width="1.7109375" style="98" customWidth="1"/>
    <col min="1542" max="1542" width="16.28515625" style="98" customWidth="1"/>
    <col min="1543" max="1554" width="9.28515625" style="98" customWidth="1"/>
    <col min="1555" max="1792" width="9.140625" style="98"/>
    <col min="1793" max="1793" width="2.28515625" style="98" customWidth="1"/>
    <col min="1794" max="1794" width="1.7109375" style="98" customWidth="1"/>
    <col min="1795" max="1795" width="2" style="98" customWidth="1"/>
    <col min="1796" max="1796" width="1.85546875" style="98" customWidth="1"/>
    <col min="1797" max="1797" width="1.7109375" style="98" customWidth="1"/>
    <col min="1798" max="1798" width="16.28515625" style="98" customWidth="1"/>
    <col min="1799" max="1810" width="9.28515625" style="98" customWidth="1"/>
    <col min="1811" max="2048" width="9.140625" style="98"/>
    <col min="2049" max="2049" width="2.28515625" style="98" customWidth="1"/>
    <col min="2050" max="2050" width="1.7109375" style="98" customWidth="1"/>
    <col min="2051" max="2051" width="2" style="98" customWidth="1"/>
    <col min="2052" max="2052" width="1.85546875" style="98" customWidth="1"/>
    <col min="2053" max="2053" width="1.7109375" style="98" customWidth="1"/>
    <col min="2054" max="2054" width="16.28515625" style="98" customWidth="1"/>
    <col min="2055" max="2066" width="9.28515625" style="98" customWidth="1"/>
    <col min="2067" max="2304" width="9.140625" style="98"/>
    <col min="2305" max="2305" width="2.28515625" style="98" customWidth="1"/>
    <col min="2306" max="2306" width="1.7109375" style="98" customWidth="1"/>
    <col min="2307" max="2307" width="2" style="98" customWidth="1"/>
    <col min="2308" max="2308" width="1.85546875" style="98" customWidth="1"/>
    <col min="2309" max="2309" width="1.7109375" style="98" customWidth="1"/>
    <col min="2310" max="2310" width="16.28515625" style="98" customWidth="1"/>
    <col min="2311" max="2322" width="9.28515625" style="98" customWidth="1"/>
    <col min="2323" max="2560" width="9.140625" style="98"/>
    <col min="2561" max="2561" width="2.28515625" style="98" customWidth="1"/>
    <col min="2562" max="2562" width="1.7109375" style="98" customWidth="1"/>
    <col min="2563" max="2563" width="2" style="98" customWidth="1"/>
    <col min="2564" max="2564" width="1.85546875" style="98" customWidth="1"/>
    <col min="2565" max="2565" width="1.7109375" style="98" customWidth="1"/>
    <col min="2566" max="2566" width="16.28515625" style="98" customWidth="1"/>
    <col min="2567" max="2578" width="9.28515625" style="98" customWidth="1"/>
    <col min="2579" max="2816" width="9.140625" style="98"/>
    <col min="2817" max="2817" width="2.28515625" style="98" customWidth="1"/>
    <col min="2818" max="2818" width="1.7109375" style="98" customWidth="1"/>
    <col min="2819" max="2819" width="2" style="98" customWidth="1"/>
    <col min="2820" max="2820" width="1.85546875" style="98" customWidth="1"/>
    <col min="2821" max="2821" width="1.7109375" style="98" customWidth="1"/>
    <col min="2822" max="2822" width="16.28515625" style="98" customWidth="1"/>
    <col min="2823" max="2834" width="9.28515625" style="98" customWidth="1"/>
    <col min="2835" max="3072" width="9.140625" style="98"/>
    <col min="3073" max="3073" width="2.28515625" style="98" customWidth="1"/>
    <col min="3074" max="3074" width="1.7109375" style="98" customWidth="1"/>
    <col min="3075" max="3075" width="2" style="98" customWidth="1"/>
    <col min="3076" max="3076" width="1.85546875" style="98" customWidth="1"/>
    <col min="3077" max="3077" width="1.7109375" style="98" customWidth="1"/>
    <col min="3078" max="3078" width="16.28515625" style="98" customWidth="1"/>
    <col min="3079" max="3090" width="9.28515625" style="98" customWidth="1"/>
    <col min="3091" max="3328" width="9.140625" style="98"/>
    <col min="3329" max="3329" width="2.28515625" style="98" customWidth="1"/>
    <col min="3330" max="3330" width="1.7109375" style="98" customWidth="1"/>
    <col min="3331" max="3331" width="2" style="98" customWidth="1"/>
    <col min="3332" max="3332" width="1.85546875" style="98" customWidth="1"/>
    <col min="3333" max="3333" width="1.7109375" style="98" customWidth="1"/>
    <col min="3334" max="3334" width="16.28515625" style="98" customWidth="1"/>
    <col min="3335" max="3346" width="9.28515625" style="98" customWidth="1"/>
    <col min="3347" max="3584" width="9.140625" style="98"/>
    <col min="3585" max="3585" width="2.28515625" style="98" customWidth="1"/>
    <col min="3586" max="3586" width="1.7109375" style="98" customWidth="1"/>
    <col min="3587" max="3587" width="2" style="98" customWidth="1"/>
    <col min="3588" max="3588" width="1.85546875" style="98" customWidth="1"/>
    <col min="3589" max="3589" width="1.7109375" style="98" customWidth="1"/>
    <col min="3590" max="3590" width="16.28515625" style="98" customWidth="1"/>
    <col min="3591" max="3602" width="9.28515625" style="98" customWidth="1"/>
    <col min="3603" max="3840" width="9.140625" style="98"/>
    <col min="3841" max="3841" width="2.28515625" style="98" customWidth="1"/>
    <col min="3842" max="3842" width="1.7109375" style="98" customWidth="1"/>
    <col min="3843" max="3843" width="2" style="98" customWidth="1"/>
    <col min="3844" max="3844" width="1.85546875" style="98" customWidth="1"/>
    <col min="3845" max="3845" width="1.7109375" style="98" customWidth="1"/>
    <col min="3846" max="3846" width="16.28515625" style="98" customWidth="1"/>
    <col min="3847" max="3858" width="9.28515625" style="98" customWidth="1"/>
    <col min="3859" max="4096" width="9.140625" style="98"/>
    <col min="4097" max="4097" width="2.28515625" style="98" customWidth="1"/>
    <col min="4098" max="4098" width="1.7109375" style="98" customWidth="1"/>
    <col min="4099" max="4099" width="2" style="98" customWidth="1"/>
    <col min="4100" max="4100" width="1.85546875" style="98" customWidth="1"/>
    <col min="4101" max="4101" width="1.7109375" style="98" customWidth="1"/>
    <col min="4102" max="4102" width="16.28515625" style="98" customWidth="1"/>
    <col min="4103" max="4114" width="9.28515625" style="98" customWidth="1"/>
    <col min="4115" max="4352" width="9.140625" style="98"/>
    <col min="4353" max="4353" width="2.28515625" style="98" customWidth="1"/>
    <col min="4354" max="4354" width="1.7109375" style="98" customWidth="1"/>
    <col min="4355" max="4355" width="2" style="98" customWidth="1"/>
    <col min="4356" max="4356" width="1.85546875" style="98" customWidth="1"/>
    <col min="4357" max="4357" width="1.7109375" style="98" customWidth="1"/>
    <col min="4358" max="4358" width="16.28515625" style="98" customWidth="1"/>
    <col min="4359" max="4370" width="9.28515625" style="98" customWidth="1"/>
    <col min="4371" max="4608" width="9.140625" style="98"/>
    <col min="4609" max="4609" width="2.28515625" style="98" customWidth="1"/>
    <col min="4610" max="4610" width="1.7109375" style="98" customWidth="1"/>
    <col min="4611" max="4611" width="2" style="98" customWidth="1"/>
    <col min="4612" max="4612" width="1.85546875" style="98" customWidth="1"/>
    <col min="4613" max="4613" width="1.7109375" style="98" customWidth="1"/>
    <col min="4614" max="4614" width="16.28515625" style="98" customWidth="1"/>
    <col min="4615" max="4626" width="9.28515625" style="98" customWidth="1"/>
    <col min="4627" max="4864" width="9.140625" style="98"/>
    <col min="4865" max="4865" width="2.28515625" style="98" customWidth="1"/>
    <col min="4866" max="4866" width="1.7109375" style="98" customWidth="1"/>
    <col min="4867" max="4867" width="2" style="98" customWidth="1"/>
    <col min="4868" max="4868" width="1.85546875" style="98" customWidth="1"/>
    <col min="4869" max="4869" width="1.7109375" style="98" customWidth="1"/>
    <col min="4870" max="4870" width="16.28515625" style="98" customWidth="1"/>
    <col min="4871" max="4882" width="9.28515625" style="98" customWidth="1"/>
    <col min="4883" max="5120" width="9.140625" style="98"/>
    <col min="5121" max="5121" width="2.28515625" style="98" customWidth="1"/>
    <col min="5122" max="5122" width="1.7109375" style="98" customWidth="1"/>
    <col min="5123" max="5123" width="2" style="98" customWidth="1"/>
    <col min="5124" max="5124" width="1.85546875" style="98" customWidth="1"/>
    <col min="5125" max="5125" width="1.7109375" style="98" customWidth="1"/>
    <col min="5126" max="5126" width="16.28515625" style="98" customWidth="1"/>
    <col min="5127" max="5138" width="9.28515625" style="98" customWidth="1"/>
    <col min="5139" max="5376" width="9.140625" style="98"/>
    <col min="5377" max="5377" width="2.28515625" style="98" customWidth="1"/>
    <col min="5378" max="5378" width="1.7109375" style="98" customWidth="1"/>
    <col min="5379" max="5379" width="2" style="98" customWidth="1"/>
    <col min="5380" max="5380" width="1.85546875" style="98" customWidth="1"/>
    <col min="5381" max="5381" width="1.7109375" style="98" customWidth="1"/>
    <col min="5382" max="5382" width="16.28515625" style="98" customWidth="1"/>
    <col min="5383" max="5394" width="9.28515625" style="98" customWidth="1"/>
    <col min="5395" max="5632" width="9.140625" style="98"/>
    <col min="5633" max="5633" width="2.28515625" style="98" customWidth="1"/>
    <col min="5634" max="5634" width="1.7109375" style="98" customWidth="1"/>
    <col min="5635" max="5635" width="2" style="98" customWidth="1"/>
    <col min="5636" max="5636" width="1.85546875" style="98" customWidth="1"/>
    <col min="5637" max="5637" width="1.7109375" style="98" customWidth="1"/>
    <col min="5638" max="5638" width="16.28515625" style="98" customWidth="1"/>
    <col min="5639" max="5650" width="9.28515625" style="98" customWidth="1"/>
    <col min="5651" max="5888" width="9.140625" style="98"/>
    <col min="5889" max="5889" width="2.28515625" style="98" customWidth="1"/>
    <col min="5890" max="5890" width="1.7109375" style="98" customWidth="1"/>
    <col min="5891" max="5891" width="2" style="98" customWidth="1"/>
    <col min="5892" max="5892" width="1.85546875" style="98" customWidth="1"/>
    <col min="5893" max="5893" width="1.7109375" style="98" customWidth="1"/>
    <col min="5894" max="5894" width="16.28515625" style="98" customWidth="1"/>
    <col min="5895" max="5906" width="9.28515625" style="98" customWidth="1"/>
    <col min="5907" max="6144" width="9.140625" style="98"/>
    <col min="6145" max="6145" width="2.28515625" style="98" customWidth="1"/>
    <col min="6146" max="6146" width="1.7109375" style="98" customWidth="1"/>
    <col min="6147" max="6147" width="2" style="98" customWidth="1"/>
    <col min="6148" max="6148" width="1.85546875" style="98" customWidth="1"/>
    <col min="6149" max="6149" width="1.7109375" style="98" customWidth="1"/>
    <col min="6150" max="6150" width="16.28515625" style="98" customWidth="1"/>
    <col min="6151" max="6162" width="9.28515625" style="98" customWidth="1"/>
    <col min="6163" max="6400" width="9.140625" style="98"/>
    <col min="6401" max="6401" width="2.28515625" style="98" customWidth="1"/>
    <col min="6402" max="6402" width="1.7109375" style="98" customWidth="1"/>
    <col min="6403" max="6403" width="2" style="98" customWidth="1"/>
    <col min="6404" max="6404" width="1.85546875" style="98" customWidth="1"/>
    <col min="6405" max="6405" width="1.7109375" style="98" customWidth="1"/>
    <col min="6406" max="6406" width="16.28515625" style="98" customWidth="1"/>
    <col min="6407" max="6418" width="9.28515625" style="98" customWidth="1"/>
    <col min="6419" max="6656" width="9.140625" style="98"/>
    <col min="6657" max="6657" width="2.28515625" style="98" customWidth="1"/>
    <col min="6658" max="6658" width="1.7109375" style="98" customWidth="1"/>
    <col min="6659" max="6659" width="2" style="98" customWidth="1"/>
    <col min="6660" max="6660" width="1.85546875" style="98" customWidth="1"/>
    <col min="6661" max="6661" width="1.7109375" style="98" customWidth="1"/>
    <col min="6662" max="6662" width="16.28515625" style="98" customWidth="1"/>
    <col min="6663" max="6674" width="9.28515625" style="98" customWidth="1"/>
    <col min="6675" max="6912" width="9.140625" style="98"/>
    <col min="6913" max="6913" width="2.28515625" style="98" customWidth="1"/>
    <col min="6914" max="6914" width="1.7109375" style="98" customWidth="1"/>
    <col min="6915" max="6915" width="2" style="98" customWidth="1"/>
    <col min="6916" max="6916" width="1.85546875" style="98" customWidth="1"/>
    <col min="6917" max="6917" width="1.7109375" style="98" customWidth="1"/>
    <col min="6918" max="6918" width="16.28515625" style="98" customWidth="1"/>
    <col min="6919" max="6930" width="9.28515625" style="98" customWidth="1"/>
    <col min="6931" max="7168" width="9.140625" style="98"/>
    <col min="7169" max="7169" width="2.28515625" style="98" customWidth="1"/>
    <col min="7170" max="7170" width="1.7109375" style="98" customWidth="1"/>
    <col min="7171" max="7171" width="2" style="98" customWidth="1"/>
    <col min="7172" max="7172" width="1.85546875" style="98" customWidth="1"/>
    <col min="7173" max="7173" width="1.7109375" style="98" customWidth="1"/>
    <col min="7174" max="7174" width="16.28515625" style="98" customWidth="1"/>
    <col min="7175" max="7186" width="9.28515625" style="98" customWidth="1"/>
    <col min="7187" max="7424" width="9.140625" style="98"/>
    <col min="7425" max="7425" width="2.28515625" style="98" customWidth="1"/>
    <col min="7426" max="7426" width="1.7109375" style="98" customWidth="1"/>
    <col min="7427" max="7427" width="2" style="98" customWidth="1"/>
    <col min="7428" max="7428" width="1.85546875" style="98" customWidth="1"/>
    <col min="7429" max="7429" width="1.7109375" style="98" customWidth="1"/>
    <col min="7430" max="7430" width="16.28515625" style="98" customWidth="1"/>
    <col min="7431" max="7442" width="9.28515625" style="98" customWidth="1"/>
    <col min="7443" max="7680" width="9.140625" style="98"/>
    <col min="7681" max="7681" width="2.28515625" style="98" customWidth="1"/>
    <col min="7682" max="7682" width="1.7109375" style="98" customWidth="1"/>
    <col min="7683" max="7683" width="2" style="98" customWidth="1"/>
    <col min="7684" max="7684" width="1.85546875" style="98" customWidth="1"/>
    <col min="7685" max="7685" width="1.7109375" style="98" customWidth="1"/>
    <col min="7686" max="7686" width="16.28515625" style="98" customWidth="1"/>
    <col min="7687" max="7698" width="9.28515625" style="98" customWidth="1"/>
    <col min="7699" max="7936" width="9.140625" style="98"/>
    <col min="7937" max="7937" width="2.28515625" style="98" customWidth="1"/>
    <col min="7938" max="7938" width="1.7109375" style="98" customWidth="1"/>
    <col min="7939" max="7939" width="2" style="98" customWidth="1"/>
    <col min="7940" max="7940" width="1.85546875" style="98" customWidth="1"/>
    <col min="7941" max="7941" width="1.7109375" style="98" customWidth="1"/>
    <col min="7942" max="7942" width="16.28515625" style="98" customWidth="1"/>
    <col min="7943" max="7954" width="9.28515625" style="98" customWidth="1"/>
    <col min="7955" max="8192" width="9.140625" style="98"/>
    <col min="8193" max="8193" width="2.28515625" style="98" customWidth="1"/>
    <col min="8194" max="8194" width="1.7109375" style="98" customWidth="1"/>
    <col min="8195" max="8195" width="2" style="98" customWidth="1"/>
    <col min="8196" max="8196" width="1.85546875" style="98" customWidth="1"/>
    <col min="8197" max="8197" width="1.7109375" style="98" customWidth="1"/>
    <col min="8198" max="8198" width="16.28515625" style="98" customWidth="1"/>
    <col min="8199" max="8210" width="9.28515625" style="98" customWidth="1"/>
    <col min="8211" max="8448" width="9.140625" style="98"/>
    <col min="8449" max="8449" width="2.28515625" style="98" customWidth="1"/>
    <col min="8450" max="8450" width="1.7109375" style="98" customWidth="1"/>
    <col min="8451" max="8451" width="2" style="98" customWidth="1"/>
    <col min="8452" max="8452" width="1.85546875" style="98" customWidth="1"/>
    <col min="8453" max="8453" width="1.7109375" style="98" customWidth="1"/>
    <col min="8454" max="8454" width="16.28515625" style="98" customWidth="1"/>
    <col min="8455" max="8466" width="9.28515625" style="98" customWidth="1"/>
    <col min="8467" max="8704" width="9.140625" style="98"/>
    <col min="8705" max="8705" width="2.28515625" style="98" customWidth="1"/>
    <col min="8706" max="8706" width="1.7109375" style="98" customWidth="1"/>
    <col min="8707" max="8707" width="2" style="98" customWidth="1"/>
    <col min="8708" max="8708" width="1.85546875" style="98" customWidth="1"/>
    <col min="8709" max="8709" width="1.7109375" style="98" customWidth="1"/>
    <col min="8710" max="8710" width="16.28515625" style="98" customWidth="1"/>
    <col min="8711" max="8722" width="9.28515625" style="98" customWidth="1"/>
    <col min="8723" max="8960" width="9.140625" style="98"/>
    <col min="8961" max="8961" width="2.28515625" style="98" customWidth="1"/>
    <col min="8962" max="8962" width="1.7109375" style="98" customWidth="1"/>
    <col min="8963" max="8963" width="2" style="98" customWidth="1"/>
    <col min="8964" max="8964" width="1.85546875" style="98" customWidth="1"/>
    <col min="8965" max="8965" width="1.7109375" style="98" customWidth="1"/>
    <col min="8966" max="8966" width="16.28515625" style="98" customWidth="1"/>
    <col min="8967" max="8978" width="9.28515625" style="98" customWidth="1"/>
    <col min="8979" max="9216" width="9.140625" style="98"/>
    <col min="9217" max="9217" width="2.28515625" style="98" customWidth="1"/>
    <col min="9218" max="9218" width="1.7109375" style="98" customWidth="1"/>
    <col min="9219" max="9219" width="2" style="98" customWidth="1"/>
    <col min="9220" max="9220" width="1.85546875" style="98" customWidth="1"/>
    <col min="9221" max="9221" width="1.7109375" style="98" customWidth="1"/>
    <col min="9222" max="9222" width="16.28515625" style="98" customWidth="1"/>
    <col min="9223" max="9234" width="9.28515625" style="98" customWidth="1"/>
    <col min="9235" max="9472" width="9.140625" style="98"/>
    <col min="9473" max="9473" width="2.28515625" style="98" customWidth="1"/>
    <col min="9474" max="9474" width="1.7109375" style="98" customWidth="1"/>
    <col min="9475" max="9475" width="2" style="98" customWidth="1"/>
    <col min="9476" max="9476" width="1.85546875" style="98" customWidth="1"/>
    <col min="9477" max="9477" width="1.7109375" style="98" customWidth="1"/>
    <col min="9478" max="9478" width="16.28515625" style="98" customWidth="1"/>
    <col min="9479" max="9490" width="9.28515625" style="98" customWidth="1"/>
    <col min="9491" max="9728" width="9.140625" style="98"/>
    <col min="9729" max="9729" width="2.28515625" style="98" customWidth="1"/>
    <col min="9730" max="9730" width="1.7109375" style="98" customWidth="1"/>
    <col min="9731" max="9731" width="2" style="98" customWidth="1"/>
    <col min="9732" max="9732" width="1.85546875" style="98" customWidth="1"/>
    <col min="9733" max="9733" width="1.7109375" style="98" customWidth="1"/>
    <col min="9734" max="9734" width="16.28515625" style="98" customWidth="1"/>
    <col min="9735" max="9746" width="9.28515625" style="98" customWidth="1"/>
    <col min="9747" max="9984" width="9.140625" style="98"/>
    <col min="9985" max="9985" width="2.28515625" style="98" customWidth="1"/>
    <col min="9986" max="9986" width="1.7109375" style="98" customWidth="1"/>
    <col min="9987" max="9987" width="2" style="98" customWidth="1"/>
    <col min="9988" max="9988" width="1.85546875" style="98" customWidth="1"/>
    <col min="9989" max="9989" width="1.7109375" style="98" customWidth="1"/>
    <col min="9990" max="9990" width="16.28515625" style="98" customWidth="1"/>
    <col min="9991" max="10002" width="9.28515625" style="98" customWidth="1"/>
    <col min="10003" max="10240" width="9.140625" style="98"/>
    <col min="10241" max="10241" width="2.28515625" style="98" customWidth="1"/>
    <col min="10242" max="10242" width="1.7109375" style="98" customWidth="1"/>
    <col min="10243" max="10243" width="2" style="98" customWidth="1"/>
    <col min="10244" max="10244" width="1.85546875" style="98" customWidth="1"/>
    <col min="10245" max="10245" width="1.7109375" style="98" customWidth="1"/>
    <col min="10246" max="10246" width="16.28515625" style="98" customWidth="1"/>
    <col min="10247" max="10258" width="9.28515625" style="98" customWidth="1"/>
    <col min="10259" max="10496" width="9.140625" style="98"/>
    <col min="10497" max="10497" width="2.28515625" style="98" customWidth="1"/>
    <col min="10498" max="10498" width="1.7109375" style="98" customWidth="1"/>
    <col min="10499" max="10499" width="2" style="98" customWidth="1"/>
    <col min="10500" max="10500" width="1.85546875" style="98" customWidth="1"/>
    <col min="10501" max="10501" width="1.7109375" style="98" customWidth="1"/>
    <col min="10502" max="10502" width="16.28515625" style="98" customWidth="1"/>
    <col min="10503" max="10514" width="9.28515625" style="98" customWidth="1"/>
    <col min="10515" max="10752" width="9.140625" style="98"/>
    <col min="10753" max="10753" width="2.28515625" style="98" customWidth="1"/>
    <col min="10754" max="10754" width="1.7109375" style="98" customWidth="1"/>
    <col min="10755" max="10755" width="2" style="98" customWidth="1"/>
    <col min="10756" max="10756" width="1.85546875" style="98" customWidth="1"/>
    <col min="10757" max="10757" width="1.7109375" style="98" customWidth="1"/>
    <col min="10758" max="10758" width="16.28515625" style="98" customWidth="1"/>
    <col min="10759" max="10770" width="9.28515625" style="98" customWidth="1"/>
    <col min="10771" max="11008" width="9.140625" style="98"/>
    <col min="11009" max="11009" width="2.28515625" style="98" customWidth="1"/>
    <col min="11010" max="11010" width="1.7109375" style="98" customWidth="1"/>
    <col min="11011" max="11011" width="2" style="98" customWidth="1"/>
    <col min="11012" max="11012" width="1.85546875" style="98" customWidth="1"/>
    <col min="11013" max="11013" width="1.7109375" style="98" customWidth="1"/>
    <col min="11014" max="11014" width="16.28515625" style="98" customWidth="1"/>
    <col min="11015" max="11026" width="9.28515625" style="98" customWidth="1"/>
    <col min="11027" max="11264" width="9.140625" style="98"/>
    <col min="11265" max="11265" width="2.28515625" style="98" customWidth="1"/>
    <col min="11266" max="11266" width="1.7109375" style="98" customWidth="1"/>
    <col min="11267" max="11267" width="2" style="98" customWidth="1"/>
    <col min="11268" max="11268" width="1.85546875" style="98" customWidth="1"/>
    <col min="11269" max="11269" width="1.7109375" style="98" customWidth="1"/>
    <col min="11270" max="11270" width="16.28515625" style="98" customWidth="1"/>
    <col min="11271" max="11282" width="9.28515625" style="98" customWidth="1"/>
    <col min="11283" max="11520" width="9.140625" style="98"/>
    <col min="11521" max="11521" width="2.28515625" style="98" customWidth="1"/>
    <col min="11522" max="11522" width="1.7109375" style="98" customWidth="1"/>
    <col min="11523" max="11523" width="2" style="98" customWidth="1"/>
    <col min="11524" max="11524" width="1.85546875" style="98" customWidth="1"/>
    <col min="11525" max="11525" width="1.7109375" style="98" customWidth="1"/>
    <col min="11526" max="11526" width="16.28515625" style="98" customWidth="1"/>
    <col min="11527" max="11538" width="9.28515625" style="98" customWidth="1"/>
    <col min="11539" max="11776" width="9.140625" style="98"/>
    <col min="11777" max="11777" width="2.28515625" style="98" customWidth="1"/>
    <col min="11778" max="11778" width="1.7109375" style="98" customWidth="1"/>
    <col min="11779" max="11779" width="2" style="98" customWidth="1"/>
    <col min="11780" max="11780" width="1.85546875" style="98" customWidth="1"/>
    <col min="11781" max="11781" width="1.7109375" style="98" customWidth="1"/>
    <col min="11782" max="11782" width="16.28515625" style="98" customWidth="1"/>
    <col min="11783" max="11794" width="9.28515625" style="98" customWidth="1"/>
    <col min="11795" max="12032" width="9.140625" style="98"/>
    <col min="12033" max="12033" width="2.28515625" style="98" customWidth="1"/>
    <col min="12034" max="12034" width="1.7109375" style="98" customWidth="1"/>
    <col min="12035" max="12035" width="2" style="98" customWidth="1"/>
    <col min="12036" max="12036" width="1.85546875" style="98" customWidth="1"/>
    <col min="12037" max="12037" width="1.7109375" style="98" customWidth="1"/>
    <col min="12038" max="12038" width="16.28515625" style="98" customWidth="1"/>
    <col min="12039" max="12050" width="9.28515625" style="98" customWidth="1"/>
    <col min="12051" max="12288" width="9.140625" style="98"/>
    <col min="12289" max="12289" width="2.28515625" style="98" customWidth="1"/>
    <col min="12290" max="12290" width="1.7109375" style="98" customWidth="1"/>
    <col min="12291" max="12291" width="2" style="98" customWidth="1"/>
    <col min="12292" max="12292" width="1.85546875" style="98" customWidth="1"/>
    <col min="12293" max="12293" width="1.7109375" style="98" customWidth="1"/>
    <col min="12294" max="12294" width="16.28515625" style="98" customWidth="1"/>
    <col min="12295" max="12306" width="9.28515625" style="98" customWidth="1"/>
    <col min="12307" max="12544" width="9.140625" style="98"/>
    <col min="12545" max="12545" width="2.28515625" style="98" customWidth="1"/>
    <col min="12546" max="12546" width="1.7109375" style="98" customWidth="1"/>
    <col min="12547" max="12547" width="2" style="98" customWidth="1"/>
    <col min="12548" max="12548" width="1.85546875" style="98" customWidth="1"/>
    <col min="12549" max="12549" width="1.7109375" style="98" customWidth="1"/>
    <col min="12550" max="12550" width="16.28515625" style="98" customWidth="1"/>
    <col min="12551" max="12562" width="9.28515625" style="98" customWidth="1"/>
    <col min="12563" max="12800" width="9.140625" style="98"/>
    <col min="12801" max="12801" width="2.28515625" style="98" customWidth="1"/>
    <col min="12802" max="12802" width="1.7109375" style="98" customWidth="1"/>
    <col min="12803" max="12803" width="2" style="98" customWidth="1"/>
    <col min="12804" max="12804" width="1.85546875" style="98" customWidth="1"/>
    <col min="12805" max="12805" width="1.7109375" style="98" customWidth="1"/>
    <col min="12806" max="12806" width="16.28515625" style="98" customWidth="1"/>
    <col min="12807" max="12818" width="9.28515625" style="98" customWidth="1"/>
    <col min="12819" max="13056" width="9.140625" style="98"/>
    <col min="13057" max="13057" width="2.28515625" style="98" customWidth="1"/>
    <col min="13058" max="13058" width="1.7109375" style="98" customWidth="1"/>
    <col min="13059" max="13059" width="2" style="98" customWidth="1"/>
    <col min="13060" max="13060" width="1.85546875" style="98" customWidth="1"/>
    <col min="13061" max="13061" width="1.7109375" style="98" customWidth="1"/>
    <col min="13062" max="13062" width="16.28515625" style="98" customWidth="1"/>
    <col min="13063" max="13074" width="9.28515625" style="98" customWidth="1"/>
    <col min="13075" max="13312" width="9.140625" style="98"/>
    <col min="13313" max="13313" width="2.28515625" style="98" customWidth="1"/>
    <col min="13314" max="13314" width="1.7109375" style="98" customWidth="1"/>
    <col min="13315" max="13315" width="2" style="98" customWidth="1"/>
    <col min="13316" max="13316" width="1.85546875" style="98" customWidth="1"/>
    <col min="13317" max="13317" width="1.7109375" style="98" customWidth="1"/>
    <col min="13318" max="13318" width="16.28515625" style="98" customWidth="1"/>
    <col min="13319" max="13330" width="9.28515625" style="98" customWidth="1"/>
    <col min="13331" max="13568" width="9.140625" style="98"/>
    <col min="13569" max="13569" width="2.28515625" style="98" customWidth="1"/>
    <col min="13570" max="13570" width="1.7109375" style="98" customWidth="1"/>
    <col min="13571" max="13571" width="2" style="98" customWidth="1"/>
    <col min="13572" max="13572" width="1.85546875" style="98" customWidth="1"/>
    <col min="13573" max="13573" width="1.7109375" style="98" customWidth="1"/>
    <col min="13574" max="13574" width="16.28515625" style="98" customWidth="1"/>
    <col min="13575" max="13586" width="9.28515625" style="98" customWidth="1"/>
    <col min="13587" max="13824" width="9.140625" style="98"/>
    <col min="13825" max="13825" width="2.28515625" style="98" customWidth="1"/>
    <col min="13826" max="13826" width="1.7109375" style="98" customWidth="1"/>
    <col min="13827" max="13827" width="2" style="98" customWidth="1"/>
    <col min="13828" max="13828" width="1.85546875" style="98" customWidth="1"/>
    <col min="13829" max="13829" width="1.7109375" style="98" customWidth="1"/>
    <col min="13830" max="13830" width="16.28515625" style="98" customWidth="1"/>
    <col min="13831" max="13842" width="9.28515625" style="98" customWidth="1"/>
    <col min="13843" max="14080" width="9.140625" style="98"/>
    <col min="14081" max="14081" width="2.28515625" style="98" customWidth="1"/>
    <col min="14082" max="14082" width="1.7109375" style="98" customWidth="1"/>
    <col min="14083" max="14083" width="2" style="98" customWidth="1"/>
    <col min="14084" max="14084" width="1.85546875" style="98" customWidth="1"/>
    <col min="14085" max="14085" width="1.7109375" style="98" customWidth="1"/>
    <col min="14086" max="14086" width="16.28515625" style="98" customWidth="1"/>
    <col min="14087" max="14098" width="9.28515625" style="98" customWidth="1"/>
    <col min="14099" max="14336" width="9.140625" style="98"/>
    <col min="14337" max="14337" width="2.28515625" style="98" customWidth="1"/>
    <col min="14338" max="14338" width="1.7109375" style="98" customWidth="1"/>
    <col min="14339" max="14339" width="2" style="98" customWidth="1"/>
    <col min="14340" max="14340" width="1.85546875" style="98" customWidth="1"/>
    <col min="14341" max="14341" width="1.7109375" style="98" customWidth="1"/>
    <col min="14342" max="14342" width="16.28515625" style="98" customWidth="1"/>
    <col min="14343" max="14354" width="9.28515625" style="98" customWidth="1"/>
    <col min="14355" max="14592" width="9.140625" style="98"/>
    <col min="14593" max="14593" width="2.28515625" style="98" customWidth="1"/>
    <col min="14594" max="14594" width="1.7109375" style="98" customWidth="1"/>
    <col min="14595" max="14595" width="2" style="98" customWidth="1"/>
    <col min="14596" max="14596" width="1.85546875" style="98" customWidth="1"/>
    <col min="14597" max="14597" width="1.7109375" style="98" customWidth="1"/>
    <col min="14598" max="14598" width="16.28515625" style="98" customWidth="1"/>
    <col min="14599" max="14610" width="9.28515625" style="98" customWidth="1"/>
    <col min="14611" max="14848" width="9.140625" style="98"/>
    <col min="14849" max="14849" width="2.28515625" style="98" customWidth="1"/>
    <col min="14850" max="14850" width="1.7109375" style="98" customWidth="1"/>
    <col min="14851" max="14851" width="2" style="98" customWidth="1"/>
    <col min="14852" max="14852" width="1.85546875" style="98" customWidth="1"/>
    <col min="14853" max="14853" width="1.7109375" style="98" customWidth="1"/>
    <col min="14854" max="14854" width="16.28515625" style="98" customWidth="1"/>
    <col min="14855" max="14866" width="9.28515625" style="98" customWidth="1"/>
    <col min="14867" max="15104" width="9.140625" style="98"/>
    <col min="15105" max="15105" width="2.28515625" style="98" customWidth="1"/>
    <col min="15106" max="15106" width="1.7109375" style="98" customWidth="1"/>
    <col min="15107" max="15107" width="2" style="98" customWidth="1"/>
    <col min="15108" max="15108" width="1.85546875" style="98" customWidth="1"/>
    <col min="15109" max="15109" width="1.7109375" style="98" customWidth="1"/>
    <col min="15110" max="15110" width="16.28515625" style="98" customWidth="1"/>
    <col min="15111" max="15122" width="9.28515625" style="98" customWidth="1"/>
    <col min="15123" max="15360" width="9.140625" style="98"/>
    <col min="15361" max="15361" width="2.28515625" style="98" customWidth="1"/>
    <col min="15362" max="15362" width="1.7109375" style="98" customWidth="1"/>
    <col min="15363" max="15363" width="2" style="98" customWidth="1"/>
    <col min="15364" max="15364" width="1.85546875" style="98" customWidth="1"/>
    <col min="15365" max="15365" width="1.7109375" style="98" customWidth="1"/>
    <col min="15366" max="15366" width="16.28515625" style="98" customWidth="1"/>
    <col min="15367" max="15378" width="9.28515625" style="98" customWidth="1"/>
    <col min="15379" max="15616" width="9.140625" style="98"/>
    <col min="15617" max="15617" width="2.28515625" style="98" customWidth="1"/>
    <col min="15618" max="15618" width="1.7109375" style="98" customWidth="1"/>
    <col min="15619" max="15619" width="2" style="98" customWidth="1"/>
    <col min="15620" max="15620" width="1.85546875" style="98" customWidth="1"/>
    <col min="15621" max="15621" width="1.7109375" style="98" customWidth="1"/>
    <col min="15622" max="15622" width="16.28515625" style="98" customWidth="1"/>
    <col min="15623" max="15634" width="9.28515625" style="98" customWidth="1"/>
    <col min="15635" max="15872" width="9.140625" style="98"/>
    <col min="15873" max="15873" width="2.28515625" style="98" customWidth="1"/>
    <col min="15874" max="15874" width="1.7109375" style="98" customWidth="1"/>
    <col min="15875" max="15875" width="2" style="98" customWidth="1"/>
    <col min="15876" max="15876" width="1.85546875" style="98" customWidth="1"/>
    <col min="15877" max="15877" width="1.7109375" style="98" customWidth="1"/>
    <col min="15878" max="15878" width="16.28515625" style="98" customWidth="1"/>
    <col min="15879" max="15890" width="9.28515625" style="98" customWidth="1"/>
    <col min="15891" max="16128" width="9.140625" style="98"/>
    <col min="16129" max="16129" width="2.28515625" style="98" customWidth="1"/>
    <col min="16130" max="16130" width="1.7109375" style="98" customWidth="1"/>
    <col min="16131" max="16131" width="2" style="98" customWidth="1"/>
    <col min="16132" max="16132" width="1.85546875" style="98" customWidth="1"/>
    <col min="16133" max="16133" width="1.7109375" style="98" customWidth="1"/>
    <col min="16134" max="16134" width="16.28515625" style="98" customWidth="1"/>
    <col min="16135" max="16146" width="9.28515625" style="98" customWidth="1"/>
    <col min="16147" max="16384" width="9.140625" style="98"/>
  </cols>
  <sheetData>
    <row r="1" spans="1:18">
      <c r="A1" s="97" t="s">
        <v>133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8">
      <c r="A2" s="97" t="s">
        <v>69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8">
      <c r="A3" s="98" t="s">
        <v>0</v>
      </c>
    </row>
    <row r="4" spans="1:18" ht="16.5" customHeight="1"/>
    <row r="5" spans="1:18" s="97" customFormat="1" ht="18" customHeight="1">
      <c r="A5" s="202" t="s">
        <v>1</v>
      </c>
      <c r="B5" s="203"/>
      <c r="C5" s="203"/>
      <c r="D5" s="203"/>
      <c r="E5" s="203"/>
      <c r="F5" s="203"/>
      <c r="G5" s="109" t="s">
        <v>5</v>
      </c>
      <c r="H5" s="109" t="s">
        <v>23</v>
      </c>
      <c r="I5" s="109" t="s">
        <v>24</v>
      </c>
      <c r="J5" s="109" t="s">
        <v>26</v>
      </c>
      <c r="K5" s="109" t="s">
        <v>27</v>
      </c>
      <c r="L5" s="109" t="s">
        <v>36</v>
      </c>
      <c r="M5" s="109" t="s">
        <v>28</v>
      </c>
      <c r="N5" s="109" t="s">
        <v>29</v>
      </c>
      <c r="O5" s="109" t="s">
        <v>39</v>
      </c>
      <c r="P5" s="109" t="s">
        <v>31</v>
      </c>
      <c r="Q5" s="109" t="s">
        <v>32</v>
      </c>
      <c r="R5" s="110" t="s">
        <v>33</v>
      </c>
    </row>
    <row r="6" spans="1:18"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</row>
    <row r="7" spans="1:18" ht="15">
      <c r="A7" s="97" t="s">
        <v>17</v>
      </c>
      <c r="B7" s="133"/>
      <c r="C7" s="97"/>
      <c r="D7" s="97"/>
      <c r="E7" s="97"/>
      <c r="F7" s="97"/>
      <c r="G7" s="101">
        <f>G9+G16</f>
        <v>487141.06799999997</v>
      </c>
      <c r="H7" s="101">
        <f t="shared" ref="H7:R7" si="0">H9+H16</f>
        <v>495331.06799999997</v>
      </c>
      <c r="I7" s="101">
        <f t="shared" si="0"/>
        <v>519665.6594</v>
      </c>
      <c r="J7" s="101">
        <f t="shared" si="0"/>
        <v>511973</v>
      </c>
      <c r="K7" s="101">
        <f t="shared" si="0"/>
        <v>525920</v>
      </c>
      <c r="L7" s="101">
        <f t="shared" si="0"/>
        <v>523775</v>
      </c>
      <c r="M7" s="101">
        <f t="shared" si="0"/>
        <v>512081</v>
      </c>
      <c r="N7" s="101">
        <f t="shared" si="0"/>
        <v>519412</v>
      </c>
      <c r="O7" s="101">
        <f t="shared" si="0"/>
        <v>512814.12449999998</v>
      </c>
      <c r="P7" s="101">
        <f t="shared" si="0"/>
        <v>536719</v>
      </c>
      <c r="Q7" s="101">
        <f t="shared" si="0"/>
        <v>546232</v>
      </c>
      <c r="R7" s="101">
        <f t="shared" si="0"/>
        <v>545577</v>
      </c>
    </row>
    <row r="8" spans="1:18" ht="4.5" customHeight="1">
      <c r="A8" s="3"/>
      <c r="B8" s="3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</row>
    <row r="9" spans="1:18">
      <c r="A9" s="97" t="s">
        <v>59</v>
      </c>
      <c r="B9" s="97"/>
      <c r="C9" s="97"/>
      <c r="D9" s="97"/>
      <c r="E9" s="97"/>
      <c r="F9" s="97"/>
      <c r="G9" s="103">
        <f>G11+G12</f>
        <v>64964.067999999999</v>
      </c>
      <c r="H9" s="103">
        <f t="shared" ref="H9:R9" si="1">H11+H12</f>
        <v>72958.067999999999</v>
      </c>
      <c r="I9" s="103">
        <f t="shared" si="1"/>
        <v>72955.067999999999</v>
      </c>
      <c r="J9" s="103">
        <f t="shared" si="1"/>
        <v>72951</v>
      </c>
      <c r="K9" s="103">
        <f t="shared" si="1"/>
        <v>72946</v>
      </c>
      <c r="L9" s="103">
        <f t="shared" si="1"/>
        <v>72938</v>
      </c>
      <c r="M9" s="103">
        <f t="shared" si="1"/>
        <v>72932</v>
      </c>
      <c r="N9" s="103">
        <f t="shared" si="1"/>
        <v>72927</v>
      </c>
      <c r="O9" s="103">
        <f t="shared" si="1"/>
        <v>72919</v>
      </c>
      <c r="P9" s="103">
        <f t="shared" si="1"/>
        <v>72914</v>
      </c>
      <c r="Q9" s="103">
        <f t="shared" si="1"/>
        <v>72909</v>
      </c>
      <c r="R9" s="103">
        <f t="shared" si="1"/>
        <v>72905</v>
      </c>
    </row>
    <row r="10" spans="1:18" ht="5.25" customHeight="1">
      <c r="A10" s="97"/>
      <c r="B10" s="97"/>
      <c r="C10" s="97"/>
      <c r="D10" s="97"/>
      <c r="E10" s="97"/>
      <c r="F10" s="97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</row>
    <row r="11" spans="1:18">
      <c r="C11" s="98" t="s">
        <v>134</v>
      </c>
      <c r="G11" s="104">
        <v>64828</v>
      </c>
      <c r="H11" s="104">
        <v>72822</v>
      </c>
      <c r="I11" s="104">
        <v>72819</v>
      </c>
      <c r="J11" s="104">
        <v>72815</v>
      </c>
      <c r="K11" s="104">
        <v>72810</v>
      </c>
      <c r="L11" s="104">
        <v>72802</v>
      </c>
      <c r="M11" s="104">
        <v>72796</v>
      </c>
      <c r="N11" s="104">
        <v>72791</v>
      </c>
      <c r="O11" s="104">
        <v>72783</v>
      </c>
      <c r="P11" s="104">
        <v>72778</v>
      </c>
      <c r="Q11" s="104">
        <v>72773</v>
      </c>
      <c r="R11" s="104">
        <v>72769</v>
      </c>
    </row>
    <row r="12" spans="1:18">
      <c r="C12" s="98" t="s">
        <v>135</v>
      </c>
      <c r="G12" s="111">
        <f t="shared" ref="G12:R12" si="2">+SUM(G13:G14)</f>
        <v>136.06800000000001</v>
      </c>
      <c r="H12" s="111">
        <f t="shared" si="2"/>
        <v>136.06800000000001</v>
      </c>
      <c r="I12" s="111">
        <f t="shared" si="2"/>
        <v>136.06800000000001</v>
      </c>
      <c r="J12" s="111">
        <f t="shared" si="2"/>
        <v>136</v>
      </c>
      <c r="K12" s="111">
        <f t="shared" si="2"/>
        <v>136</v>
      </c>
      <c r="L12" s="111">
        <f t="shared" si="2"/>
        <v>136</v>
      </c>
      <c r="M12" s="111">
        <f t="shared" si="2"/>
        <v>136</v>
      </c>
      <c r="N12" s="111">
        <f t="shared" si="2"/>
        <v>136</v>
      </c>
      <c r="O12" s="111">
        <f t="shared" si="2"/>
        <v>136</v>
      </c>
      <c r="P12" s="111">
        <f t="shared" si="2"/>
        <v>136</v>
      </c>
      <c r="Q12" s="111">
        <f t="shared" si="2"/>
        <v>136</v>
      </c>
      <c r="R12" s="111">
        <f t="shared" si="2"/>
        <v>136</v>
      </c>
    </row>
    <row r="13" spans="1:18">
      <c r="D13" s="98" t="s">
        <v>13</v>
      </c>
      <c r="G13" s="104">
        <v>36.826000000000001</v>
      </c>
      <c r="H13" s="104">
        <v>36.826000000000001</v>
      </c>
      <c r="I13" s="104">
        <v>36.826000000000001</v>
      </c>
      <c r="J13" s="104">
        <v>37</v>
      </c>
      <c r="K13" s="104">
        <v>37</v>
      </c>
      <c r="L13" s="104">
        <v>37</v>
      </c>
      <c r="M13" s="104">
        <v>37</v>
      </c>
      <c r="N13" s="104">
        <v>37</v>
      </c>
      <c r="O13" s="104">
        <v>37</v>
      </c>
      <c r="P13" s="104">
        <v>37</v>
      </c>
      <c r="Q13" s="104">
        <v>37</v>
      </c>
      <c r="R13" s="104">
        <v>37</v>
      </c>
    </row>
    <row r="14" spans="1:18">
      <c r="D14" s="98" t="s">
        <v>15</v>
      </c>
      <c r="G14" s="104">
        <v>99.242000000000004</v>
      </c>
      <c r="H14" s="104">
        <v>99.242000000000004</v>
      </c>
      <c r="I14" s="104">
        <v>99.242000000000004</v>
      </c>
      <c r="J14" s="104">
        <v>99</v>
      </c>
      <c r="K14" s="104">
        <v>99</v>
      </c>
      <c r="L14" s="104">
        <v>99</v>
      </c>
      <c r="M14" s="104">
        <v>99</v>
      </c>
      <c r="N14" s="104">
        <v>99</v>
      </c>
      <c r="O14" s="104">
        <v>99</v>
      </c>
      <c r="P14" s="104">
        <v>99</v>
      </c>
      <c r="Q14" s="104">
        <v>99</v>
      </c>
      <c r="R14" s="104">
        <v>99</v>
      </c>
    </row>
    <row r="15" spans="1:18" ht="8.25" customHeight="1"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</row>
    <row r="16" spans="1:18">
      <c r="A16" s="97" t="s">
        <v>161</v>
      </c>
      <c r="B16" s="97"/>
      <c r="C16" s="97"/>
      <c r="D16" s="97"/>
      <c r="E16" s="97"/>
      <c r="F16" s="97"/>
      <c r="G16" s="103">
        <f>G18+G19</f>
        <v>422177</v>
      </c>
      <c r="H16" s="103">
        <f t="shared" ref="H16:R16" si="3">H18+H19</f>
        <v>422373</v>
      </c>
      <c r="I16" s="103">
        <f t="shared" si="3"/>
        <v>446710.59139999998</v>
      </c>
      <c r="J16" s="103">
        <f t="shared" si="3"/>
        <v>439022</v>
      </c>
      <c r="K16" s="103">
        <f t="shared" si="3"/>
        <v>452974</v>
      </c>
      <c r="L16" s="103">
        <f t="shared" si="3"/>
        <v>450837</v>
      </c>
      <c r="M16" s="103">
        <f t="shared" si="3"/>
        <v>439149</v>
      </c>
      <c r="N16" s="103">
        <f t="shared" si="3"/>
        <v>446485</v>
      </c>
      <c r="O16" s="103">
        <f t="shared" si="3"/>
        <v>439895.12449999998</v>
      </c>
      <c r="P16" s="103">
        <f t="shared" si="3"/>
        <v>463805</v>
      </c>
      <c r="Q16" s="103">
        <f t="shared" si="3"/>
        <v>473323</v>
      </c>
      <c r="R16" s="103">
        <f t="shared" si="3"/>
        <v>472672</v>
      </c>
    </row>
    <row r="17" spans="1:18" ht="6.75" customHeight="1">
      <c r="A17" s="97"/>
      <c r="B17" s="97"/>
      <c r="C17" s="97"/>
      <c r="D17" s="97"/>
      <c r="E17" s="97"/>
      <c r="F17" s="97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</row>
    <row r="18" spans="1:18">
      <c r="C18" s="98" t="s">
        <v>134</v>
      </c>
      <c r="G18" s="104">
        <v>418500</v>
      </c>
      <c r="H18" s="104">
        <v>418713</v>
      </c>
      <c r="I18" s="104">
        <v>442933</v>
      </c>
      <c r="J18" s="104">
        <v>435399</v>
      </c>
      <c r="K18" s="104">
        <v>449196</v>
      </c>
      <c r="L18" s="104">
        <v>446985</v>
      </c>
      <c r="M18" s="104">
        <v>435353</v>
      </c>
      <c r="N18" s="104">
        <v>442563</v>
      </c>
      <c r="O18" s="104">
        <v>435854</v>
      </c>
      <c r="P18" s="104">
        <v>459626</v>
      </c>
      <c r="Q18" s="104">
        <v>469136</v>
      </c>
      <c r="R18" s="104">
        <v>468603</v>
      </c>
    </row>
    <row r="19" spans="1:18">
      <c r="C19" s="98" t="s">
        <v>135</v>
      </c>
      <c r="G19" s="111">
        <f t="shared" ref="G19:R19" si="4">+SUM(G20:G23)</f>
        <v>3677</v>
      </c>
      <c r="H19" s="111">
        <f t="shared" si="4"/>
        <v>3660</v>
      </c>
      <c r="I19" s="111">
        <f t="shared" si="4"/>
        <v>3777.5913999999998</v>
      </c>
      <c r="J19" s="111">
        <f t="shared" si="4"/>
        <v>3623</v>
      </c>
      <c r="K19" s="111">
        <f t="shared" si="4"/>
        <v>3778</v>
      </c>
      <c r="L19" s="111">
        <f t="shared" si="4"/>
        <v>3852</v>
      </c>
      <c r="M19" s="111">
        <f t="shared" si="4"/>
        <v>3796</v>
      </c>
      <c r="N19" s="111">
        <f t="shared" si="4"/>
        <v>3922</v>
      </c>
      <c r="O19" s="111">
        <f t="shared" si="4"/>
        <v>4041.1244999999994</v>
      </c>
      <c r="P19" s="111">
        <f t="shared" si="4"/>
        <v>4179</v>
      </c>
      <c r="Q19" s="111">
        <f t="shared" si="4"/>
        <v>4187</v>
      </c>
      <c r="R19" s="111">
        <f t="shared" si="4"/>
        <v>4069</v>
      </c>
    </row>
    <row r="20" spans="1:18">
      <c r="D20" s="98" t="s">
        <v>12</v>
      </c>
      <c r="G20" s="104">
        <v>3645</v>
      </c>
      <c r="H20" s="104">
        <v>3628</v>
      </c>
      <c r="I20" s="104">
        <f>89.584*41.8</f>
        <v>3744.6111999999998</v>
      </c>
      <c r="J20" s="104">
        <v>3590</v>
      </c>
      <c r="K20" s="104">
        <v>3743</v>
      </c>
      <c r="L20" s="104">
        <v>3817</v>
      </c>
      <c r="M20" s="116">
        <v>3761</v>
      </c>
      <c r="N20" s="116">
        <v>3886</v>
      </c>
      <c r="O20" s="116">
        <f>85.103*47.05</f>
        <v>4004.0961499999994</v>
      </c>
      <c r="P20" s="116">
        <v>4141</v>
      </c>
      <c r="Q20" s="116">
        <v>4148</v>
      </c>
      <c r="R20" s="116">
        <v>4032</v>
      </c>
    </row>
    <row r="21" spans="1:18">
      <c r="D21" s="98" t="s">
        <v>13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4">
        <v>0</v>
      </c>
      <c r="O21" s="104">
        <v>0</v>
      </c>
      <c r="P21" s="104">
        <v>0</v>
      </c>
      <c r="Q21" s="104">
        <v>0</v>
      </c>
      <c r="R21" s="104">
        <v>0</v>
      </c>
    </row>
    <row r="22" spans="1:18">
      <c r="D22" s="98" t="s">
        <v>162</v>
      </c>
      <c r="G22" s="104">
        <v>32</v>
      </c>
      <c r="H22" s="104">
        <v>32</v>
      </c>
      <c r="I22" s="104">
        <f>0.789*41.8</f>
        <v>32.980199999999996</v>
      </c>
      <c r="J22" s="104">
        <v>33</v>
      </c>
      <c r="K22" s="104">
        <v>35</v>
      </c>
      <c r="L22" s="104">
        <v>35</v>
      </c>
      <c r="M22" s="104">
        <v>35</v>
      </c>
      <c r="N22" s="104">
        <v>36</v>
      </c>
      <c r="O22" s="104">
        <f>0.787*47.05</f>
        <v>37.028349999999996</v>
      </c>
      <c r="P22" s="104">
        <v>38</v>
      </c>
      <c r="Q22" s="104">
        <v>39</v>
      </c>
      <c r="R22" s="104">
        <v>37</v>
      </c>
    </row>
    <row r="23" spans="1:18">
      <c r="D23" s="98" t="s">
        <v>15</v>
      </c>
      <c r="G23" s="104">
        <v>0</v>
      </c>
      <c r="H23" s="104">
        <v>0</v>
      </c>
      <c r="I23" s="104">
        <v>0</v>
      </c>
      <c r="J23" s="104">
        <v>0</v>
      </c>
      <c r="K23" s="104">
        <v>0</v>
      </c>
      <c r="L23" s="104">
        <v>0</v>
      </c>
      <c r="M23" s="104">
        <v>0</v>
      </c>
      <c r="N23" s="104">
        <v>0</v>
      </c>
      <c r="O23" s="104">
        <v>0</v>
      </c>
      <c r="P23" s="104">
        <v>0</v>
      </c>
      <c r="Q23" s="104">
        <v>0</v>
      </c>
      <c r="R23" s="104">
        <v>0</v>
      </c>
    </row>
    <row r="24" spans="1:18">
      <c r="A24" s="99"/>
      <c r="B24" s="99"/>
      <c r="C24" s="99"/>
      <c r="D24" s="99"/>
      <c r="E24" s="99"/>
      <c r="F24" s="99"/>
    </row>
    <row r="25" spans="1:18">
      <c r="A25" s="98" t="s">
        <v>80</v>
      </c>
    </row>
    <row r="26" spans="1:18">
      <c r="A26" s="97"/>
    </row>
    <row r="27" spans="1:18">
      <c r="A27" s="115" t="s">
        <v>8</v>
      </c>
      <c r="B27" s="115"/>
      <c r="C27" s="115"/>
      <c r="D27" s="115"/>
      <c r="E27" s="115"/>
      <c r="F27" s="115"/>
      <c r="G27" s="115">
        <v>40.700000000000003</v>
      </c>
      <c r="H27" s="115">
        <v>40.5</v>
      </c>
      <c r="I27" s="115">
        <v>41.8</v>
      </c>
      <c r="J27" s="115">
        <v>42.15</v>
      </c>
      <c r="K27" s="115">
        <v>43.95</v>
      </c>
      <c r="L27" s="115">
        <v>44.8</v>
      </c>
      <c r="M27" s="115">
        <v>44.15</v>
      </c>
      <c r="N27" s="115">
        <v>45.65</v>
      </c>
      <c r="O27" s="115">
        <v>47.05</v>
      </c>
      <c r="P27" s="115">
        <v>48.7</v>
      </c>
      <c r="Q27" s="115">
        <v>48.8</v>
      </c>
      <c r="R27" s="115">
        <v>47.4</v>
      </c>
    </row>
    <row r="28" spans="1:18" ht="14.25">
      <c r="A28" s="112"/>
      <c r="B28" s="113"/>
      <c r="C28" s="113"/>
      <c r="D28" s="113"/>
      <c r="E28" s="113"/>
      <c r="F28" s="113"/>
      <c r="G28" s="112"/>
      <c r="H28" s="112"/>
    </row>
    <row r="29" spans="1:18">
      <c r="A29" s="105" t="s">
        <v>22</v>
      </c>
    </row>
    <row r="30" spans="1:18">
      <c r="A30" s="105" t="s">
        <v>68</v>
      </c>
    </row>
    <row r="31" spans="1:18">
      <c r="A31" s="105" t="s">
        <v>163</v>
      </c>
      <c r="F31" s="105"/>
    </row>
    <row r="32" spans="1:18">
      <c r="A32" s="114" t="s">
        <v>164</v>
      </c>
    </row>
    <row r="33" spans="1:7">
      <c r="F33" s="105"/>
    </row>
    <row r="34" spans="1:7" ht="13.5">
      <c r="A34" s="106" t="s">
        <v>35</v>
      </c>
      <c r="F34" s="105"/>
    </row>
    <row r="35" spans="1:7">
      <c r="F35" s="105"/>
    </row>
    <row r="42" spans="1:7">
      <c r="G42" s="107"/>
    </row>
    <row r="43" spans="1:7">
      <c r="G43" s="108"/>
    </row>
    <row r="44" spans="1:7">
      <c r="G44" s="108"/>
    </row>
    <row r="45" spans="1:7">
      <c r="G45" s="108"/>
    </row>
    <row r="46" spans="1:7">
      <c r="G46" s="104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7">
    <pageSetUpPr fitToPage="1"/>
  </sheetPr>
  <dimension ref="A1:W59"/>
  <sheetViews>
    <sheetView zoomScale="96" zoomScaleNormal="96" workbookViewId="0">
      <selection activeCell="L43" sqref="L43"/>
    </sheetView>
  </sheetViews>
  <sheetFormatPr defaultRowHeight="16.5"/>
  <cols>
    <col min="1" max="1" width="2" style="2" customWidth="1"/>
    <col min="2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10.85546875" style="15" hidden="1" customWidth="1"/>
    <col min="8" max="8" width="4.140625" style="15" hidden="1" customWidth="1"/>
    <col min="9" max="9" width="2.5703125" style="15" hidden="1" customWidth="1"/>
    <col min="10" max="10" width="4.140625" style="15" hidden="1" customWidth="1"/>
    <col min="11" max="11" width="4.85546875" style="15" hidden="1" customWidth="1"/>
    <col min="12" max="23" width="10.5703125" style="2" bestFit="1" customWidth="1"/>
    <col min="24" max="256" width="9.140625" style="2"/>
    <col min="257" max="257" width="2" style="2" customWidth="1"/>
    <col min="258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7" width="0" style="2" hidden="1" customWidth="1"/>
    <col min="268" max="275" width="9.85546875" style="2" bestFit="1" customWidth="1"/>
    <col min="276" max="276" width="9.5703125" style="2" customWidth="1"/>
    <col min="277" max="277" width="10" style="2" customWidth="1"/>
    <col min="278" max="278" width="10.140625" style="2" customWidth="1"/>
    <col min="279" max="279" width="9.7109375" style="2" customWidth="1"/>
    <col min="280" max="512" width="9.140625" style="2"/>
    <col min="513" max="513" width="2" style="2" customWidth="1"/>
    <col min="514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23" width="0" style="2" hidden="1" customWidth="1"/>
    <col min="524" max="531" width="9.85546875" style="2" bestFit="1" customWidth="1"/>
    <col min="532" max="532" width="9.5703125" style="2" customWidth="1"/>
    <col min="533" max="533" width="10" style="2" customWidth="1"/>
    <col min="534" max="534" width="10.140625" style="2" customWidth="1"/>
    <col min="535" max="535" width="9.7109375" style="2" customWidth="1"/>
    <col min="536" max="768" width="9.140625" style="2"/>
    <col min="769" max="769" width="2" style="2" customWidth="1"/>
    <col min="770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9" width="0" style="2" hidden="1" customWidth="1"/>
    <col min="780" max="787" width="9.85546875" style="2" bestFit="1" customWidth="1"/>
    <col min="788" max="788" width="9.5703125" style="2" customWidth="1"/>
    <col min="789" max="789" width="10" style="2" customWidth="1"/>
    <col min="790" max="790" width="10.140625" style="2" customWidth="1"/>
    <col min="791" max="791" width="9.7109375" style="2" customWidth="1"/>
    <col min="792" max="1024" width="9.140625" style="2"/>
    <col min="1025" max="1025" width="2" style="2" customWidth="1"/>
    <col min="1026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5" width="0" style="2" hidden="1" customWidth="1"/>
    <col min="1036" max="1043" width="9.85546875" style="2" bestFit="1" customWidth="1"/>
    <col min="1044" max="1044" width="9.5703125" style="2" customWidth="1"/>
    <col min="1045" max="1045" width="10" style="2" customWidth="1"/>
    <col min="1046" max="1046" width="10.140625" style="2" customWidth="1"/>
    <col min="1047" max="1047" width="9.7109375" style="2" customWidth="1"/>
    <col min="1048" max="1280" width="9.140625" style="2"/>
    <col min="1281" max="1281" width="2" style="2" customWidth="1"/>
    <col min="1282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91" width="0" style="2" hidden="1" customWidth="1"/>
    <col min="1292" max="1299" width="9.85546875" style="2" bestFit="1" customWidth="1"/>
    <col min="1300" max="1300" width="9.5703125" style="2" customWidth="1"/>
    <col min="1301" max="1301" width="10" style="2" customWidth="1"/>
    <col min="1302" max="1302" width="10.140625" style="2" customWidth="1"/>
    <col min="1303" max="1303" width="9.7109375" style="2" customWidth="1"/>
    <col min="1304" max="1536" width="9.140625" style="2"/>
    <col min="1537" max="1537" width="2" style="2" customWidth="1"/>
    <col min="1538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7" width="0" style="2" hidden="1" customWidth="1"/>
    <col min="1548" max="1555" width="9.85546875" style="2" bestFit="1" customWidth="1"/>
    <col min="1556" max="1556" width="9.5703125" style="2" customWidth="1"/>
    <col min="1557" max="1557" width="10" style="2" customWidth="1"/>
    <col min="1558" max="1558" width="10.140625" style="2" customWidth="1"/>
    <col min="1559" max="1559" width="9.7109375" style="2" customWidth="1"/>
    <col min="1560" max="1792" width="9.140625" style="2"/>
    <col min="1793" max="1793" width="2" style="2" customWidth="1"/>
    <col min="1794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803" width="0" style="2" hidden="1" customWidth="1"/>
    <col min="1804" max="1811" width="9.85546875" style="2" bestFit="1" customWidth="1"/>
    <col min="1812" max="1812" width="9.5703125" style="2" customWidth="1"/>
    <col min="1813" max="1813" width="10" style="2" customWidth="1"/>
    <col min="1814" max="1814" width="10.140625" style="2" customWidth="1"/>
    <col min="1815" max="1815" width="9.7109375" style="2" customWidth="1"/>
    <col min="1816" max="2048" width="9.140625" style="2"/>
    <col min="2049" max="2049" width="2" style="2" customWidth="1"/>
    <col min="2050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9" width="0" style="2" hidden="1" customWidth="1"/>
    <col min="2060" max="2067" width="9.85546875" style="2" bestFit="1" customWidth="1"/>
    <col min="2068" max="2068" width="9.5703125" style="2" customWidth="1"/>
    <col min="2069" max="2069" width="10" style="2" customWidth="1"/>
    <col min="2070" max="2070" width="10.140625" style="2" customWidth="1"/>
    <col min="2071" max="2071" width="9.7109375" style="2" customWidth="1"/>
    <col min="2072" max="2304" width="9.140625" style="2"/>
    <col min="2305" max="2305" width="2" style="2" customWidth="1"/>
    <col min="2306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5" width="0" style="2" hidden="1" customWidth="1"/>
    <col min="2316" max="2323" width="9.85546875" style="2" bestFit="1" customWidth="1"/>
    <col min="2324" max="2324" width="9.5703125" style="2" customWidth="1"/>
    <col min="2325" max="2325" width="10" style="2" customWidth="1"/>
    <col min="2326" max="2326" width="10.140625" style="2" customWidth="1"/>
    <col min="2327" max="2327" width="9.7109375" style="2" customWidth="1"/>
    <col min="2328" max="2560" width="9.140625" style="2"/>
    <col min="2561" max="2561" width="2" style="2" customWidth="1"/>
    <col min="2562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71" width="0" style="2" hidden="1" customWidth="1"/>
    <col min="2572" max="2579" width="9.85546875" style="2" bestFit="1" customWidth="1"/>
    <col min="2580" max="2580" width="9.5703125" style="2" customWidth="1"/>
    <col min="2581" max="2581" width="10" style="2" customWidth="1"/>
    <col min="2582" max="2582" width="10.140625" style="2" customWidth="1"/>
    <col min="2583" max="2583" width="9.7109375" style="2" customWidth="1"/>
    <col min="2584" max="2816" width="9.140625" style="2"/>
    <col min="2817" max="2817" width="2" style="2" customWidth="1"/>
    <col min="2818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7" width="0" style="2" hidden="1" customWidth="1"/>
    <col min="2828" max="2835" width="9.85546875" style="2" bestFit="1" customWidth="1"/>
    <col min="2836" max="2836" width="9.5703125" style="2" customWidth="1"/>
    <col min="2837" max="2837" width="10" style="2" customWidth="1"/>
    <col min="2838" max="2838" width="10.140625" style="2" customWidth="1"/>
    <col min="2839" max="2839" width="9.7109375" style="2" customWidth="1"/>
    <col min="2840" max="3072" width="9.140625" style="2"/>
    <col min="3073" max="3073" width="2" style="2" customWidth="1"/>
    <col min="3074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83" width="0" style="2" hidden="1" customWidth="1"/>
    <col min="3084" max="3091" width="9.85546875" style="2" bestFit="1" customWidth="1"/>
    <col min="3092" max="3092" width="9.5703125" style="2" customWidth="1"/>
    <col min="3093" max="3093" width="10" style="2" customWidth="1"/>
    <col min="3094" max="3094" width="10.140625" style="2" customWidth="1"/>
    <col min="3095" max="3095" width="9.7109375" style="2" customWidth="1"/>
    <col min="3096" max="3328" width="9.140625" style="2"/>
    <col min="3329" max="3329" width="2" style="2" customWidth="1"/>
    <col min="3330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9" width="0" style="2" hidden="1" customWidth="1"/>
    <col min="3340" max="3347" width="9.85546875" style="2" bestFit="1" customWidth="1"/>
    <col min="3348" max="3348" width="9.5703125" style="2" customWidth="1"/>
    <col min="3349" max="3349" width="10" style="2" customWidth="1"/>
    <col min="3350" max="3350" width="10.140625" style="2" customWidth="1"/>
    <col min="3351" max="3351" width="9.7109375" style="2" customWidth="1"/>
    <col min="3352" max="3584" width="9.140625" style="2"/>
    <col min="3585" max="3585" width="2" style="2" customWidth="1"/>
    <col min="3586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5" width="0" style="2" hidden="1" customWidth="1"/>
    <col min="3596" max="3603" width="9.85546875" style="2" bestFit="1" customWidth="1"/>
    <col min="3604" max="3604" width="9.5703125" style="2" customWidth="1"/>
    <col min="3605" max="3605" width="10" style="2" customWidth="1"/>
    <col min="3606" max="3606" width="10.140625" style="2" customWidth="1"/>
    <col min="3607" max="3607" width="9.7109375" style="2" customWidth="1"/>
    <col min="3608" max="3840" width="9.140625" style="2"/>
    <col min="3841" max="3841" width="2" style="2" customWidth="1"/>
    <col min="3842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51" width="0" style="2" hidden="1" customWidth="1"/>
    <col min="3852" max="3859" width="9.85546875" style="2" bestFit="1" customWidth="1"/>
    <col min="3860" max="3860" width="9.5703125" style="2" customWidth="1"/>
    <col min="3861" max="3861" width="10" style="2" customWidth="1"/>
    <col min="3862" max="3862" width="10.140625" style="2" customWidth="1"/>
    <col min="3863" max="3863" width="9.7109375" style="2" customWidth="1"/>
    <col min="3864" max="4096" width="9.140625" style="2"/>
    <col min="4097" max="4097" width="2" style="2" customWidth="1"/>
    <col min="4098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7" width="0" style="2" hidden="1" customWidth="1"/>
    <col min="4108" max="4115" width="9.85546875" style="2" bestFit="1" customWidth="1"/>
    <col min="4116" max="4116" width="9.5703125" style="2" customWidth="1"/>
    <col min="4117" max="4117" width="10" style="2" customWidth="1"/>
    <col min="4118" max="4118" width="10.140625" style="2" customWidth="1"/>
    <col min="4119" max="4119" width="9.7109375" style="2" customWidth="1"/>
    <col min="4120" max="4352" width="9.140625" style="2"/>
    <col min="4353" max="4353" width="2" style="2" customWidth="1"/>
    <col min="4354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63" width="0" style="2" hidden="1" customWidth="1"/>
    <col min="4364" max="4371" width="9.85546875" style="2" bestFit="1" customWidth="1"/>
    <col min="4372" max="4372" width="9.5703125" style="2" customWidth="1"/>
    <col min="4373" max="4373" width="10" style="2" customWidth="1"/>
    <col min="4374" max="4374" width="10.140625" style="2" customWidth="1"/>
    <col min="4375" max="4375" width="9.7109375" style="2" customWidth="1"/>
    <col min="4376" max="4608" width="9.140625" style="2"/>
    <col min="4609" max="4609" width="2" style="2" customWidth="1"/>
    <col min="4610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9" width="0" style="2" hidden="1" customWidth="1"/>
    <col min="4620" max="4627" width="9.85546875" style="2" bestFit="1" customWidth="1"/>
    <col min="4628" max="4628" width="9.5703125" style="2" customWidth="1"/>
    <col min="4629" max="4629" width="10" style="2" customWidth="1"/>
    <col min="4630" max="4630" width="10.140625" style="2" customWidth="1"/>
    <col min="4631" max="4631" width="9.7109375" style="2" customWidth="1"/>
    <col min="4632" max="4864" width="9.140625" style="2"/>
    <col min="4865" max="4865" width="2" style="2" customWidth="1"/>
    <col min="4866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5" width="0" style="2" hidden="1" customWidth="1"/>
    <col min="4876" max="4883" width="9.85546875" style="2" bestFit="1" customWidth="1"/>
    <col min="4884" max="4884" width="9.5703125" style="2" customWidth="1"/>
    <col min="4885" max="4885" width="10" style="2" customWidth="1"/>
    <col min="4886" max="4886" width="10.140625" style="2" customWidth="1"/>
    <col min="4887" max="4887" width="9.7109375" style="2" customWidth="1"/>
    <col min="4888" max="5120" width="9.140625" style="2"/>
    <col min="5121" max="5121" width="2" style="2" customWidth="1"/>
    <col min="5122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31" width="0" style="2" hidden="1" customWidth="1"/>
    <col min="5132" max="5139" width="9.85546875" style="2" bestFit="1" customWidth="1"/>
    <col min="5140" max="5140" width="9.5703125" style="2" customWidth="1"/>
    <col min="5141" max="5141" width="10" style="2" customWidth="1"/>
    <col min="5142" max="5142" width="10.140625" style="2" customWidth="1"/>
    <col min="5143" max="5143" width="9.7109375" style="2" customWidth="1"/>
    <col min="5144" max="5376" width="9.140625" style="2"/>
    <col min="5377" max="5377" width="2" style="2" customWidth="1"/>
    <col min="5378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7" width="0" style="2" hidden="1" customWidth="1"/>
    <col min="5388" max="5395" width="9.85546875" style="2" bestFit="1" customWidth="1"/>
    <col min="5396" max="5396" width="9.5703125" style="2" customWidth="1"/>
    <col min="5397" max="5397" width="10" style="2" customWidth="1"/>
    <col min="5398" max="5398" width="10.140625" style="2" customWidth="1"/>
    <col min="5399" max="5399" width="9.7109375" style="2" customWidth="1"/>
    <col min="5400" max="5632" width="9.140625" style="2"/>
    <col min="5633" max="5633" width="2" style="2" customWidth="1"/>
    <col min="5634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43" width="0" style="2" hidden="1" customWidth="1"/>
    <col min="5644" max="5651" width="9.85546875" style="2" bestFit="1" customWidth="1"/>
    <col min="5652" max="5652" width="9.5703125" style="2" customWidth="1"/>
    <col min="5653" max="5653" width="10" style="2" customWidth="1"/>
    <col min="5654" max="5654" width="10.140625" style="2" customWidth="1"/>
    <col min="5655" max="5655" width="9.7109375" style="2" customWidth="1"/>
    <col min="5656" max="5888" width="9.140625" style="2"/>
    <col min="5889" max="5889" width="2" style="2" customWidth="1"/>
    <col min="5890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9" width="0" style="2" hidden="1" customWidth="1"/>
    <col min="5900" max="5907" width="9.85546875" style="2" bestFit="1" customWidth="1"/>
    <col min="5908" max="5908" width="9.5703125" style="2" customWidth="1"/>
    <col min="5909" max="5909" width="10" style="2" customWidth="1"/>
    <col min="5910" max="5910" width="10.140625" style="2" customWidth="1"/>
    <col min="5911" max="5911" width="9.7109375" style="2" customWidth="1"/>
    <col min="5912" max="6144" width="9.140625" style="2"/>
    <col min="6145" max="6145" width="2" style="2" customWidth="1"/>
    <col min="6146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5" width="0" style="2" hidden="1" customWidth="1"/>
    <col min="6156" max="6163" width="9.85546875" style="2" bestFit="1" customWidth="1"/>
    <col min="6164" max="6164" width="9.5703125" style="2" customWidth="1"/>
    <col min="6165" max="6165" width="10" style="2" customWidth="1"/>
    <col min="6166" max="6166" width="10.140625" style="2" customWidth="1"/>
    <col min="6167" max="6167" width="9.7109375" style="2" customWidth="1"/>
    <col min="6168" max="6400" width="9.140625" style="2"/>
    <col min="6401" max="6401" width="2" style="2" customWidth="1"/>
    <col min="6402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11" width="0" style="2" hidden="1" customWidth="1"/>
    <col min="6412" max="6419" width="9.85546875" style="2" bestFit="1" customWidth="1"/>
    <col min="6420" max="6420" width="9.5703125" style="2" customWidth="1"/>
    <col min="6421" max="6421" width="10" style="2" customWidth="1"/>
    <col min="6422" max="6422" width="10.140625" style="2" customWidth="1"/>
    <col min="6423" max="6423" width="9.7109375" style="2" customWidth="1"/>
    <col min="6424" max="6656" width="9.140625" style="2"/>
    <col min="6657" max="6657" width="2" style="2" customWidth="1"/>
    <col min="6658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7" width="0" style="2" hidden="1" customWidth="1"/>
    <col min="6668" max="6675" width="9.85546875" style="2" bestFit="1" customWidth="1"/>
    <col min="6676" max="6676" width="9.5703125" style="2" customWidth="1"/>
    <col min="6677" max="6677" width="10" style="2" customWidth="1"/>
    <col min="6678" max="6678" width="10.140625" style="2" customWidth="1"/>
    <col min="6679" max="6679" width="9.7109375" style="2" customWidth="1"/>
    <col min="6680" max="6912" width="9.140625" style="2"/>
    <col min="6913" max="6913" width="2" style="2" customWidth="1"/>
    <col min="6914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23" width="0" style="2" hidden="1" customWidth="1"/>
    <col min="6924" max="6931" width="9.85546875" style="2" bestFit="1" customWidth="1"/>
    <col min="6932" max="6932" width="9.5703125" style="2" customWidth="1"/>
    <col min="6933" max="6933" width="10" style="2" customWidth="1"/>
    <col min="6934" max="6934" width="10.140625" style="2" customWidth="1"/>
    <col min="6935" max="6935" width="9.7109375" style="2" customWidth="1"/>
    <col min="6936" max="7168" width="9.140625" style="2"/>
    <col min="7169" max="7169" width="2" style="2" customWidth="1"/>
    <col min="7170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9" width="0" style="2" hidden="1" customWidth="1"/>
    <col min="7180" max="7187" width="9.85546875" style="2" bestFit="1" customWidth="1"/>
    <col min="7188" max="7188" width="9.5703125" style="2" customWidth="1"/>
    <col min="7189" max="7189" width="10" style="2" customWidth="1"/>
    <col min="7190" max="7190" width="10.140625" style="2" customWidth="1"/>
    <col min="7191" max="7191" width="9.7109375" style="2" customWidth="1"/>
    <col min="7192" max="7424" width="9.140625" style="2"/>
    <col min="7425" max="7425" width="2" style="2" customWidth="1"/>
    <col min="7426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5" width="0" style="2" hidden="1" customWidth="1"/>
    <col min="7436" max="7443" width="9.85546875" style="2" bestFit="1" customWidth="1"/>
    <col min="7444" max="7444" width="9.5703125" style="2" customWidth="1"/>
    <col min="7445" max="7445" width="10" style="2" customWidth="1"/>
    <col min="7446" max="7446" width="10.140625" style="2" customWidth="1"/>
    <col min="7447" max="7447" width="9.7109375" style="2" customWidth="1"/>
    <col min="7448" max="7680" width="9.140625" style="2"/>
    <col min="7681" max="7681" width="2" style="2" customWidth="1"/>
    <col min="7682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91" width="0" style="2" hidden="1" customWidth="1"/>
    <col min="7692" max="7699" width="9.85546875" style="2" bestFit="1" customWidth="1"/>
    <col min="7700" max="7700" width="9.5703125" style="2" customWidth="1"/>
    <col min="7701" max="7701" width="10" style="2" customWidth="1"/>
    <col min="7702" max="7702" width="10.140625" style="2" customWidth="1"/>
    <col min="7703" max="7703" width="9.7109375" style="2" customWidth="1"/>
    <col min="7704" max="7936" width="9.140625" style="2"/>
    <col min="7937" max="7937" width="2" style="2" customWidth="1"/>
    <col min="7938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7" width="0" style="2" hidden="1" customWidth="1"/>
    <col min="7948" max="7955" width="9.85546875" style="2" bestFit="1" customWidth="1"/>
    <col min="7956" max="7956" width="9.5703125" style="2" customWidth="1"/>
    <col min="7957" max="7957" width="10" style="2" customWidth="1"/>
    <col min="7958" max="7958" width="10.140625" style="2" customWidth="1"/>
    <col min="7959" max="7959" width="9.7109375" style="2" customWidth="1"/>
    <col min="7960" max="8192" width="9.140625" style="2"/>
    <col min="8193" max="8193" width="2" style="2" customWidth="1"/>
    <col min="8194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203" width="0" style="2" hidden="1" customWidth="1"/>
    <col min="8204" max="8211" width="9.85546875" style="2" bestFit="1" customWidth="1"/>
    <col min="8212" max="8212" width="9.5703125" style="2" customWidth="1"/>
    <col min="8213" max="8213" width="10" style="2" customWidth="1"/>
    <col min="8214" max="8214" width="10.140625" style="2" customWidth="1"/>
    <col min="8215" max="8215" width="9.7109375" style="2" customWidth="1"/>
    <col min="8216" max="8448" width="9.140625" style="2"/>
    <col min="8449" max="8449" width="2" style="2" customWidth="1"/>
    <col min="8450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9" width="0" style="2" hidden="1" customWidth="1"/>
    <col min="8460" max="8467" width="9.85546875" style="2" bestFit="1" customWidth="1"/>
    <col min="8468" max="8468" width="9.5703125" style="2" customWidth="1"/>
    <col min="8469" max="8469" width="10" style="2" customWidth="1"/>
    <col min="8470" max="8470" width="10.140625" style="2" customWidth="1"/>
    <col min="8471" max="8471" width="9.7109375" style="2" customWidth="1"/>
    <col min="8472" max="8704" width="9.140625" style="2"/>
    <col min="8705" max="8705" width="2" style="2" customWidth="1"/>
    <col min="8706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5" width="0" style="2" hidden="1" customWidth="1"/>
    <col min="8716" max="8723" width="9.85546875" style="2" bestFit="1" customWidth="1"/>
    <col min="8724" max="8724" width="9.5703125" style="2" customWidth="1"/>
    <col min="8725" max="8725" width="10" style="2" customWidth="1"/>
    <col min="8726" max="8726" width="10.140625" style="2" customWidth="1"/>
    <col min="8727" max="8727" width="9.7109375" style="2" customWidth="1"/>
    <col min="8728" max="8960" width="9.140625" style="2"/>
    <col min="8961" max="8961" width="2" style="2" customWidth="1"/>
    <col min="8962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71" width="0" style="2" hidden="1" customWidth="1"/>
    <col min="8972" max="8979" width="9.85546875" style="2" bestFit="1" customWidth="1"/>
    <col min="8980" max="8980" width="9.5703125" style="2" customWidth="1"/>
    <col min="8981" max="8981" width="10" style="2" customWidth="1"/>
    <col min="8982" max="8982" width="10.140625" style="2" customWidth="1"/>
    <col min="8983" max="8983" width="9.7109375" style="2" customWidth="1"/>
    <col min="8984" max="9216" width="9.140625" style="2"/>
    <col min="9217" max="9217" width="2" style="2" customWidth="1"/>
    <col min="9218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7" width="0" style="2" hidden="1" customWidth="1"/>
    <col min="9228" max="9235" width="9.85546875" style="2" bestFit="1" customWidth="1"/>
    <col min="9236" max="9236" width="9.5703125" style="2" customWidth="1"/>
    <col min="9237" max="9237" width="10" style="2" customWidth="1"/>
    <col min="9238" max="9238" width="10.140625" style="2" customWidth="1"/>
    <col min="9239" max="9239" width="9.7109375" style="2" customWidth="1"/>
    <col min="9240" max="9472" width="9.140625" style="2"/>
    <col min="9473" max="9473" width="2" style="2" customWidth="1"/>
    <col min="9474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83" width="0" style="2" hidden="1" customWidth="1"/>
    <col min="9484" max="9491" width="9.85546875" style="2" bestFit="1" customWidth="1"/>
    <col min="9492" max="9492" width="9.5703125" style="2" customWidth="1"/>
    <col min="9493" max="9493" width="10" style="2" customWidth="1"/>
    <col min="9494" max="9494" width="10.140625" style="2" customWidth="1"/>
    <col min="9495" max="9495" width="9.7109375" style="2" customWidth="1"/>
    <col min="9496" max="9728" width="9.140625" style="2"/>
    <col min="9729" max="9729" width="2" style="2" customWidth="1"/>
    <col min="9730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9" width="0" style="2" hidden="1" customWidth="1"/>
    <col min="9740" max="9747" width="9.85546875" style="2" bestFit="1" customWidth="1"/>
    <col min="9748" max="9748" width="9.5703125" style="2" customWidth="1"/>
    <col min="9749" max="9749" width="10" style="2" customWidth="1"/>
    <col min="9750" max="9750" width="10.140625" style="2" customWidth="1"/>
    <col min="9751" max="9751" width="9.7109375" style="2" customWidth="1"/>
    <col min="9752" max="9984" width="9.140625" style="2"/>
    <col min="9985" max="9985" width="2" style="2" customWidth="1"/>
    <col min="9986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5" width="0" style="2" hidden="1" customWidth="1"/>
    <col min="9996" max="10003" width="9.85546875" style="2" bestFit="1" customWidth="1"/>
    <col min="10004" max="10004" width="9.5703125" style="2" customWidth="1"/>
    <col min="10005" max="10005" width="10" style="2" customWidth="1"/>
    <col min="10006" max="10006" width="10.140625" style="2" customWidth="1"/>
    <col min="10007" max="10007" width="9.7109375" style="2" customWidth="1"/>
    <col min="10008" max="10240" width="9.140625" style="2"/>
    <col min="10241" max="10241" width="2" style="2" customWidth="1"/>
    <col min="10242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51" width="0" style="2" hidden="1" customWidth="1"/>
    <col min="10252" max="10259" width="9.85546875" style="2" bestFit="1" customWidth="1"/>
    <col min="10260" max="10260" width="9.5703125" style="2" customWidth="1"/>
    <col min="10261" max="10261" width="10" style="2" customWidth="1"/>
    <col min="10262" max="10262" width="10.140625" style="2" customWidth="1"/>
    <col min="10263" max="10263" width="9.7109375" style="2" customWidth="1"/>
    <col min="10264" max="10496" width="9.140625" style="2"/>
    <col min="10497" max="10497" width="2" style="2" customWidth="1"/>
    <col min="10498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7" width="0" style="2" hidden="1" customWidth="1"/>
    <col min="10508" max="10515" width="9.85546875" style="2" bestFit="1" customWidth="1"/>
    <col min="10516" max="10516" width="9.5703125" style="2" customWidth="1"/>
    <col min="10517" max="10517" width="10" style="2" customWidth="1"/>
    <col min="10518" max="10518" width="10.140625" style="2" customWidth="1"/>
    <col min="10519" max="10519" width="9.7109375" style="2" customWidth="1"/>
    <col min="10520" max="10752" width="9.140625" style="2"/>
    <col min="10753" max="10753" width="2" style="2" customWidth="1"/>
    <col min="10754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63" width="0" style="2" hidden="1" customWidth="1"/>
    <col min="10764" max="10771" width="9.85546875" style="2" bestFit="1" customWidth="1"/>
    <col min="10772" max="10772" width="9.5703125" style="2" customWidth="1"/>
    <col min="10773" max="10773" width="10" style="2" customWidth="1"/>
    <col min="10774" max="10774" width="10.140625" style="2" customWidth="1"/>
    <col min="10775" max="10775" width="9.7109375" style="2" customWidth="1"/>
    <col min="10776" max="11008" width="9.140625" style="2"/>
    <col min="11009" max="11009" width="2" style="2" customWidth="1"/>
    <col min="11010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9" width="0" style="2" hidden="1" customWidth="1"/>
    <col min="11020" max="11027" width="9.85546875" style="2" bestFit="1" customWidth="1"/>
    <col min="11028" max="11028" width="9.5703125" style="2" customWidth="1"/>
    <col min="11029" max="11029" width="10" style="2" customWidth="1"/>
    <col min="11030" max="11030" width="10.140625" style="2" customWidth="1"/>
    <col min="11031" max="11031" width="9.7109375" style="2" customWidth="1"/>
    <col min="11032" max="11264" width="9.140625" style="2"/>
    <col min="11265" max="11265" width="2" style="2" customWidth="1"/>
    <col min="11266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5" width="0" style="2" hidden="1" customWidth="1"/>
    <col min="11276" max="11283" width="9.85546875" style="2" bestFit="1" customWidth="1"/>
    <col min="11284" max="11284" width="9.5703125" style="2" customWidth="1"/>
    <col min="11285" max="11285" width="10" style="2" customWidth="1"/>
    <col min="11286" max="11286" width="10.140625" style="2" customWidth="1"/>
    <col min="11287" max="11287" width="9.7109375" style="2" customWidth="1"/>
    <col min="11288" max="11520" width="9.140625" style="2"/>
    <col min="11521" max="11521" width="2" style="2" customWidth="1"/>
    <col min="11522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31" width="0" style="2" hidden="1" customWidth="1"/>
    <col min="11532" max="11539" width="9.85546875" style="2" bestFit="1" customWidth="1"/>
    <col min="11540" max="11540" width="9.5703125" style="2" customWidth="1"/>
    <col min="11541" max="11541" width="10" style="2" customWidth="1"/>
    <col min="11542" max="11542" width="10.140625" style="2" customWidth="1"/>
    <col min="11543" max="11543" width="9.7109375" style="2" customWidth="1"/>
    <col min="11544" max="11776" width="9.140625" style="2"/>
    <col min="11777" max="11777" width="2" style="2" customWidth="1"/>
    <col min="11778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7" width="0" style="2" hidden="1" customWidth="1"/>
    <col min="11788" max="11795" width="9.85546875" style="2" bestFit="1" customWidth="1"/>
    <col min="11796" max="11796" width="9.5703125" style="2" customWidth="1"/>
    <col min="11797" max="11797" width="10" style="2" customWidth="1"/>
    <col min="11798" max="11798" width="10.140625" style="2" customWidth="1"/>
    <col min="11799" max="11799" width="9.7109375" style="2" customWidth="1"/>
    <col min="11800" max="12032" width="9.140625" style="2"/>
    <col min="12033" max="12033" width="2" style="2" customWidth="1"/>
    <col min="12034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43" width="0" style="2" hidden="1" customWidth="1"/>
    <col min="12044" max="12051" width="9.85546875" style="2" bestFit="1" customWidth="1"/>
    <col min="12052" max="12052" width="9.5703125" style="2" customWidth="1"/>
    <col min="12053" max="12053" width="10" style="2" customWidth="1"/>
    <col min="12054" max="12054" width="10.140625" style="2" customWidth="1"/>
    <col min="12055" max="12055" width="9.7109375" style="2" customWidth="1"/>
    <col min="12056" max="12288" width="9.140625" style="2"/>
    <col min="12289" max="12289" width="2" style="2" customWidth="1"/>
    <col min="12290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9" width="0" style="2" hidden="1" customWidth="1"/>
    <col min="12300" max="12307" width="9.85546875" style="2" bestFit="1" customWidth="1"/>
    <col min="12308" max="12308" width="9.5703125" style="2" customWidth="1"/>
    <col min="12309" max="12309" width="10" style="2" customWidth="1"/>
    <col min="12310" max="12310" width="10.140625" style="2" customWidth="1"/>
    <col min="12311" max="12311" width="9.7109375" style="2" customWidth="1"/>
    <col min="12312" max="12544" width="9.140625" style="2"/>
    <col min="12545" max="12545" width="2" style="2" customWidth="1"/>
    <col min="12546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5" width="0" style="2" hidden="1" customWidth="1"/>
    <col min="12556" max="12563" width="9.85546875" style="2" bestFit="1" customWidth="1"/>
    <col min="12564" max="12564" width="9.5703125" style="2" customWidth="1"/>
    <col min="12565" max="12565" width="10" style="2" customWidth="1"/>
    <col min="12566" max="12566" width="10.140625" style="2" customWidth="1"/>
    <col min="12567" max="12567" width="9.7109375" style="2" customWidth="1"/>
    <col min="12568" max="12800" width="9.140625" style="2"/>
    <col min="12801" max="12801" width="2" style="2" customWidth="1"/>
    <col min="12802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11" width="0" style="2" hidden="1" customWidth="1"/>
    <col min="12812" max="12819" width="9.85546875" style="2" bestFit="1" customWidth="1"/>
    <col min="12820" max="12820" width="9.5703125" style="2" customWidth="1"/>
    <col min="12821" max="12821" width="10" style="2" customWidth="1"/>
    <col min="12822" max="12822" width="10.140625" style="2" customWidth="1"/>
    <col min="12823" max="12823" width="9.7109375" style="2" customWidth="1"/>
    <col min="12824" max="13056" width="9.140625" style="2"/>
    <col min="13057" max="13057" width="2" style="2" customWidth="1"/>
    <col min="13058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7" width="0" style="2" hidden="1" customWidth="1"/>
    <col min="13068" max="13075" width="9.85546875" style="2" bestFit="1" customWidth="1"/>
    <col min="13076" max="13076" width="9.5703125" style="2" customWidth="1"/>
    <col min="13077" max="13077" width="10" style="2" customWidth="1"/>
    <col min="13078" max="13078" width="10.140625" style="2" customWidth="1"/>
    <col min="13079" max="13079" width="9.7109375" style="2" customWidth="1"/>
    <col min="13080" max="13312" width="9.140625" style="2"/>
    <col min="13313" max="13313" width="2" style="2" customWidth="1"/>
    <col min="13314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23" width="0" style="2" hidden="1" customWidth="1"/>
    <col min="13324" max="13331" width="9.85546875" style="2" bestFit="1" customWidth="1"/>
    <col min="13332" max="13332" width="9.5703125" style="2" customWidth="1"/>
    <col min="13333" max="13333" width="10" style="2" customWidth="1"/>
    <col min="13334" max="13334" width="10.140625" style="2" customWidth="1"/>
    <col min="13335" max="13335" width="9.7109375" style="2" customWidth="1"/>
    <col min="13336" max="13568" width="9.140625" style="2"/>
    <col min="13569" max="13569" width="2" style="2" customWidth="1"/>
    <col min="13570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9" width="0" style="2" hidden="1" customWidth="1"/>
    <col min="13580" max="13587" width="9.85546875" style="2" bestFit="1" customWidth="1"/>
    <col min="13588" max="13588" width="9.5703125" style="2" customWidth="1"/>
    <col min="13589" max="13589" width="10" style="2" customWidth="1"/>
    <col min="13590" max="13590" width="10.140625" style="2" customWidth="1"/>
    <col min="13591" max="13591" width="9.7109375" style="2" customWidth="1"/>
    <col min="13592" max="13824" width="9.140625" style="2"/>
    <col min="13825" max="13825" width="2" style="2" customWidth="1"/>
    <col min="13826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5" width="0" style="2" hidden="1" customWidth="1"/>
    <col min="13836" max="13843" width="9.85546875" style="2" bestFit="1" customWidth="1"/>
    <col min="13844" max="13844" width="9.5703125" style="2" customWidth="1"/>
    <col min="13845" max="13845" width="10" style="2" customWidth="1"/>
    <col min="13846" max="13846" width="10.140625" style="2" customWidth="1"/>
    <col min="13847" max="13847" width="9.7109375" style="2" customWidth="1"/>
    <col min="13848" max="14080" width="9.140625" style="2"/>
    <col min="14081" max="14081" width="2" style="2" customWidth="1"/>
    <col min="14082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91" width="0" style="2" hidden="1" customWidth="1"/>
    <col min="14092" max="14099" width="9.85546875" style="2" bestFit="1" customWidth="1"/>
    <col min="14100" max="14100" width="9.5703125" style="2" customWidth="1"/>
    <col min="14101" max="14101" width="10" style="2" customWidth="1"/>
    <col min="14102" max="14102" width="10.140625" style="2" customWidth="1"/>
    <col min="14103" max="14103" width="9.7109375" style="2" customWidth="1"/>
    <col min="14104" max="14336" width="9.140625" style="2"/>
    <col min="14337" max="14337" width="2" style="2" customWidth="1"/>
    <col min="14338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7" width="0" style="2" hidden="1" customWidth="1"/>
    <col min="14348" max="14355" width="9.85546875" style="2" bestFit="1" customWidth="1"/>
    <col min="14356" max="14356" width="9.5703125" style="2" customWidth="1"/>
    <col min="14357" max="14357" width="10" style="2" customWidth="1"/>
    <col min="14358" max="14358" width="10.140625" style="2" customWidth="1"/>
    <col min="14359" max="14359" width="9.7109375" style="2" customWidth="1"/>
    <col min="14360" max="14592" width="9.140625" style="2"/>
    <col min="14593" max="14593" width="2" style="2" customWidth="1"/>
    <col min="14594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603" width="0" style="2" hidden="1" customWidth="1"/>
    <col min="14604" max="14611" width="9.85546875" style="2" bestFit="1" customWidth="1"/>
    <col min="14612" max="14612" width="9.5703125" style="2" customWidth="1"/>
    <col min="14613" max="14613" width="10" style="2" customWidth="1"/>
    <col min="14614" max="14614" width="10.140625" style="2" customWidth="1"/>
    <col min="14615" max="14615" width="9.7109375" style="2" customWidth="1"/>
    <col min="14616" max="14848" width="9.140625" style="2"/>
    <col min="14849" max="14849" width="2" style="2" customWidth="1"/>
    <col min="14850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9" width="0" style="2" hidden="1" customWidth="1"/>
    <col min="14860" max="14867" width="9.85546875" style="2" bestFit="1" customWidth="1"/>
    <col min="14868" max="14868" width="9.5703125" style="2" customWidth="1"/>
    <col min="14869" max="14869" width="10" style="2" customWidth="1"/>
    <col min="14870" max="14870" width="10.140625" style="2" customWidth="1"/>
    <col min="14871" max="14871" width="9.7109375" style="2" customWidth="1"/>
    <col min="14872" max="15104" width="9.140625" style="2"/>
    <col min="15105" max="15105" width="2" style="2" customWidth="1"/>
    <col min="15106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5" width="0" style="2" hidden="1" customWidth="1"/>
    <col min="15116" max="15123" width="9.85546875" style="2" bestFit="1" customWidth="1"/>
    <col min="15124" max="15124" width="9.5703125" style="2" customWidth="1"/>
    <col min="15125" max="15125" width="10" style="2" customWidth="1"/>
    <col min="15126" max="15126" width="10.140625" style="2" customWidth="1"/>
    <col min="15127" max="15127" width="9.7109375" style="2" customWidth="1"/>
    <col min="15128" max="15360" width="9.140625" style="2"/>
    <col min="15361" max="15361" width="2" style="2" customWidth="1"/>
    <col min="15362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71" width="0" style="2" hidden="1" customWidth="1"/>
    <col min="15372" max="15379" width="9.85546875" style="2" bestFit="1" customWidth="1"/>
    <col min="15380" max="15380" width="9.5703125" style="2" customWidth="1"/>
    <col min="15381" max="15381" width="10" style="2" customWidth="1"/>
    <col min="15382" max="15382" width="10.140625" style="2" customWidth="1"/>
    <col min="15383" max="15383" width="9.7109375" style="2" customWidth="1"/>
    <col min="15384" max="15616" width="9.140625" style="2"/>
    <col min="15617" max="15617" width="2" style="2" customWidth="1"/>
    <col min="15618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7" width="0" style="2" hidden="1" customWidth="1"/>
    <col min="15628" max="15635" width="9.85546875" style="2" bestFit="1" customWidth="1"/>
    <col min="15636" max="15636" width="9.5703125" style="2" customWidth="1"/>
    <col min="15637" max="15637" width="10" style="2" customWidth="1"/>
    <col min="15638" max="15638" width="10.140625" style="2" customWidth="1"/>
    <col min="15639" max="15639" width="9.7109375" style="2" customWidth="1"/>
    <col min="15640" max="15872" width="9.140625" style="2"/>
    <col min="15873" max="15873" width="2" style="2" customWidth="1"/>
    <col min="15874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83" width="0" style="2" hidden="1" customWidth="1"/>
    <col min="15884" max="15891" width="9.85546875" style="2" bestFit="1" customWidth="1"/>
    <col min="15892" max="15892" width="9.5703125" style="2" customWidth="1"/>
    <col min="15893" max="15893" width="10" style="2" customWidth="1"/>
    <col min="15894" max="15894" width="10.140625" style="2" customWidth="1"/>
    <col min="15895" max="15895" width="9.7109375" style="2" customWidth="1"/>
    <col min="15896" max="16128" width="9.140625" style="2"/>
    <col min="16129" max="16129" width="2" style="2" customWidth="1"/>
    <col min="16130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9" width="0" style="2" hidden="1" customWidth="1"/>
    <col min="16140" max="16147" width="9.85546875" style="2" bestFit="1" customWidth="1"/>
    <col min="16148" max="16148" width="9.5703125" style="2" customWidth="1"/>
    <col min="16149" max="16149" width="10" style="2" customWidth="1"/>
    <col min="16150" max="16150" width="10.140625" style="2" customWidth="1"/>
    <col min="16151" max="16151" width="9.7109375" style="2" customWidth="1"/>
    <col min="16152" max="16384" width="9.140625" style="2"/>
  </cols>
  <sheetData>
    <row r="1" spans="1:23">
      <c r="A1" s="1" t="s">
        <v>25</v>
      </c>
    </row>
    <row r="2" spans="1:23">
      <c r="A2" s="1" t="s">
        <v>70</v>
      </c>
      <c r="F2" s="1" t="s">
        <v>35</v>
      </c>
    </row>
    <row r="3" spans="1:23">
      <c r="A3" s="2" t="s">
        <v>0</v>
      </c>
      <c r="L3" s="2" t="s">
        <v>35</v>
      </c>
    </row>
    <row r="4" spans="1:23" ht="12" customHeight="1"/>
    <row r="5" spans="1:23" ht="18" customHeight="1">
      <c r="A5" s="177" t="s">
        <v>1</v>
      </c>
      <c r="B5" s="178"/>
      <c r="C5" s="178"/>
      <c r="D5" s="178"/>
      <c r="E5" s="178"/>
      <c r="F5" s="178"/>
      <c r="G5" s="76" t="s">
        <v>28</v>
      </c>
      <c r="H5" s="76" t="s">
        <v>29</v>
      </c>
      <c r="I5" s="76" t="s">
        <v>39</v>
      </c>
      <c r="J5" s="76" t="s">
        <v>31</v>
      </c>
      <c r="K5" s="76" t="s">
        <v>32</v>
      </c>
      <c r="L5" s="77" t="s">
        <v>5</v>
      </c>
      <c r="M5" s="77" t="s">
        <v>23</v>
      </c>
      <c r="N5" s="77" t="s">
        <v>24</v>
      </c>
      <c r="O5" s="77" t="s">
        <v>26</v>
      </c>
      <c r="P5" s="77" t="s">
        <v>27</v>
      </c>
      <c r="Q5" s="77" t="s">
        <v>36</v>
      </c>
      <c r="R5" s="77" t="s">
        <v>28</v>
      </c>
      <c r="S5" s="77" t="s">
        <v>29</v>
      </c>
      <c r="T5" s="77" t="s">
        <v>39</v>
      </c>
      <c r="U5" s="77" t="s">
        <v>31</v>
      </c>
      <c r="V5" s="77" t="s">
        <v>32</v>
      </c>
      <c r="W5" s="78" t="s">
        <v>33</v>
      </c>
    </row>
    <row r="6" spans="1:23" ht="9" customHeight="1"/>
    <row r="7" spans="1:23">
      <c r="A7" s="1" t="s">
        <v>17</v>
      </c>
      <c r="E7" s="1"/>
      <c r="G7" s="41" t="e">
        <v>#REF!</v>
      </c>
      <c r="H7" s="41" t="e">
        <v>#REF!</v>
      </c>
      <c r="I7" s="41" t="e">
        <v>#REF!</v>
      </c>
      <c r="J7" s="41" t="e">
        <v>#REF!</v>
      </c>
      <c r="K7" s="41" t="e">
        <v>#REF!</v>
      </c>
      <c r="L7" s="41">
        <v>3871992</v>
      </c>
      <c r="M7" s="41">
        <v>3896629.307</v>
      </c>
      <c r="N7" s="41">
        <v>3931264.307</v>
      </c>
      <c r="O7" s="41">
        <v>3900326.307</v>
      </c>
      <c r="P7" s="41">
        <v>3819441.307</v>
      </c>
      <c r="Q7" s="41">
        <v>3782249.307</v>
      </c>
      <c r="R7" s="41">
        <v>3764744.307</v>
      </c>
      <c r="S7" s="41">
        <v>3871340.0714500002</v>
      </c>
      <c r="T7" s="41">
        <v>3831760</v>
      </c>
      <c r="U7" s="41">
        <v>3798352</v>
      </c>
      <c r="V7" s="41">
        <v>3751195</v>
      </c>
      <c r="W7" s="41">
        <v>3712487</v>
      </c>
    </row>
    <row r="8" spans="1:23" ht="6" customHeight="1"/>
    <row r="9" spans="1:23">
      <c r="A9" s="1" t="s">
        <v>59</v>
      </c>
      <c r="B9" s="1"/>
      <c r="C9" s="1"/>
      <c r="D9" s="1"/>
      <c r="E9" s="1"/>
      <c r="F9" s="1"/>
      <c r="G9" s="13" t="e">
        <v>#REF!</v>
      </c>
      <c r="H9" s="13" t="e">
        <v>#REF!</v>
      </c>
      <c r="I9" s="13" t="e">
        <v>#REF!</v>
      </c>
      <c r="J9" s="13" t="e">
        <v>#REF!</v>
      </c>
      <c r="K9" s="13" t="e">
        <v>#REF!</v>
      </c>
      <c r="L9" s="13">
        <v>2141894</v>
      </c>
      <c r="M9" s="13">
        <v>2164964.307</v>
      </c>
      <c r="N9" s="13">
        <v>2177788.307</v>
      </c>
      <c r="O9" s="13">
        <v>2181484.307</v>
      </c>
      <c r="P9" s="13">
        <v>2148207.307</v>
      </c>
      <c r="Q9" s="13">
        <v>2118861.307</v>
      </c>
      <c r="R9" s="13">
        <v>2115266.307</v>
      </c>
      <c r="S9" s="13">
        <v>2167163.307</v>
      </c>
      <c r="T9" s="13">
        <v>2205969</v>
      </c>
      <c r="U9" s="13">
        <v>2209217</v>
      </c>
      <c r="V9" s="13">
        <v>2181537</v>
      </c>
      <c r="W9" s="13">
        <v>2201167</v>
      </c>
    </row>
    <row r="10" spans="1:23">
      <c r="C10" s="2" t="s">
        <v>9</v>
      </c>
      <c r="G10" s="14" t="e">
        <v>#REF!</v>
      </c>
      <c r="H10" s="14" t="e">
        <v>#REF!</v>
      </c>
      <c r="I10" s="14" t="e">
        <v>#REF!</v>
      </c>
      <c r="J10" s="14" t="e">
        <v>#REF!</v>
      </c>
      <c r="K10" s="14" t="e">
        <v>#REF!</v>
      </c>
      <c r="L10" s="14">
        <v>2139600</v>
      </c>
      <c r="M10" s="14">
        <v>2162670</v>
      </c>
      <c r="N10" s="14">
        <v>2175494</v>
      </c>
      <c r="O10" s="14">
        <v>2179190</v>
      </c>
      <c r="P10" s="14">
        <v>2145913</v>
      </c>
      <c r="Q10" s="14">
        <v>2116567</v>
      </c>
      <c r="R10" s="14">
        <v>2112972</v>
      </c>
      <c r="S10" s="14">
        <v>2164869</v>
      </c>
      <c r="T10" s="14">
        <v>2203675</v>
      </c>
      <c r="U10" s="14">
        <v>2206923</v>
      </c>
      <c r="V10" s="14">
        <v>2179243</v>
      </c>
      <c r="W10" s="14">
        <v>2198873</v>
      </c>
    </row>
    <row r="11" spans="1:23">
      <c r="D11" s="2" t="s">
        <v>88</v>
      </c>
      <c r="G11" s="14" t="e">
        <v>#REF!</v>
      </c>
      <c r="H11" s="14" t="e">
        <v>#REF!</v>
      </c>
      <c r="I11" s="14" t="e">
        <v>#REF!</v>
      </c>
      <c r="J11" s="14" t="e">
        <v>#REF!</v>
      </c>
      <c r="K11" s="14" t="e">
        <v>#REF!</v>
      </c>
      <c r="L11" s="15">
        <v>2119515</v>
      </c>
      <c r="M11" s="15">
        <v>2142586</v>
      </c>
      <c r="N11" s="15">
        <v>2155410</v>
      </c>
      <c r="O11" s="15">
        <v>2159107</v>
      </c>
      <c r="P11" s="15">
        <v>2125830</v>
      </c>
      <c r="Q11" s="15">
        <v>2096484</v>
      </c>
      <c r="R11" s="15">
        <v>2092890</v>
      </c>
      <c r="S11" s="15">
        <v>2144786</v>
      </c>
      <c r="T11" s="15">
        <v>2183594</v>
      </c>
      <c r="U11" s="15">
        <v>2186842</v>
      </c>
      <c r="V11" s="15">
        <v>2159163</v>
      </c>
      <c r="W11" s="15">
        <v>2178794</v>
      </c>
    </row>
    <row r="12" spans="1:23">
      <c r="D12" s="2" t="s">
        <v>2</v>
      </c>
      <c r="L12" s="15">
        <v>20085</v>
      </c>
      <c r="M12" s="15">
        <v>20084</v>
      </c>
      <c r="N12" s="15">
        <v>20084</v>
      </c>
      <c r="O12" s="15">
        <v>20083</v>
      </c>
      <c r="P12" s="15">
        <v>20083</v>
      </c>
      <c r="Q12" s="15">
        <v>20083</v>
      </c>
      <c r="R12" s="15">
        <v>20082</v>
      </c>
      <c r="S12" s="15">
        <v>20083</v>
      </c>
      <c r="T12" s="15">
        <v>20081</v>
      </c>
      <c r="U12" s="15">
        <v>20081</v>
      </c>
      <c r="V12" s="15">
        <v>20080</v>
      </c>
      <c r="W12" s="15">
        <v>20079</v>
      </c>
    </row>
    <row r="13" spans="1:23">
      <c r="D13" s="2" t="s">
        <v>3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ht="6.75" customHeight="1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C15" s="2" t="s">
        <v>60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2294</v>
      </c>
      <c r="M15" s="14">
        <v>2294.3069999999998</v>
      </c>
      <c r="N15" s="14">
        <v>2294.3069999999998</v>
      </c>
      <c r="O15" s="14">
        <v>2294.3069999999998</v>
      </c>
      <c r="P15" s="14">
        <v>2294.3069999999998</v>
      </c>
      <c r="Q15" s="14">
        <v>2294.3069999999998</v>
      </c>
      <c r="R15" s="14">
        <v>2294.3069999999998</v>
      </c>
      <c r="S15" s="14">
        <v>2294.3069999999998</v>
      </c>
      <c r="T15" s="14">
        <v>2294</v>
      </c>
      <c r="U15" s="14">
        <v>2294</v>
      </c>
      <c r="V15" s="14">
        <v>2294</v>
      </c>
      <c r="W15" s="14">
        <v>2294</v>
      </c>
    </row>
    <row r="16" spans="1:23" hidden="1">
      <c r="D16" s="2" t="s">
        <v>12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>
      <c r="D17" s="2" t="s">
        <v>13</v>
      </c>
      <c r="L17" s="15">
        <v>2288</v>
      </c>
      <c r="M17" s="15">
        <v>2288</v>
      </c>
      <c r="N17" s="15">
        <v>2288</v>
      </c>
      <c r="O17" s="15">
        <v>2288</v>
      </c>
      <c r="P17" s="15">
        <v>2288</v>
      </c>
      <c r="Q17" s="15">
        <v>2288</v>
      </c>
      <c r="R17" s="15">
        <v>2288</v>
      </c>
      <c r="S17" s="15">
        <v>2288</v>
      </c>
      <c r="T17" s="15">
        <v>2288</v>
      </c>
      <c r="U17" s="15">
        <v>2288</v>
      </c>
      <c r="V17" s="15">
        <v>2288</v>
      </c>
      <c r="W17" s="15">
        <v>2288</v>
      </c>
    </row>
    <row r="18" spans="1:23" hidden="1">
      <c r="D18" s="2" t="s">
        <v>14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>
      <c r="D19" s="2" t="s">
        <v>15</v>
      </c>
      <c r="L19" s="15">
        <v>6</v>
      </c>
      <c r="M19" s="15">
        <v>6.3070000000000004</v>
      </c>
      <c r="N19" s="15">
        <v>6.3070000000000004</v>
      </c>
      <c r="O19" s="15">
        <v>6.3070000000000004</v>
      </c>
      <c r="P19" s="15">
        <v>6.3070000000000004</v>
      </c>
      <c r="Q19" s="15">
        <v>6.3070000000000004</v>
      </c>
      <c r="R19" s="15">
        <v>6.3070000000000004</v>
      </c>
      <c r="S19" s="15">
        <v>6.3070000000000004</v>
      </c>
      <c r="T19" s="15">
        <v>6</v>
      </c>
      <c r="U19" s="15">
        <v>6</v>
      </c>
      <c r="V19" s="15">
        <v>6</v>
      </c>
      <c r="W19" s="15">
        <v>6</v>
      </c>
    </row>
    <row r="20" spans="1:23" ht="7.5" customHeight="1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" t="s">
        <v>125</v>
      </c>
      <c r="B21" s="1"/>
      <c r="C21" s="1"/>
      <c r="D21" s="1"/>
      <c r="E21" s="1"/>
      <c r="F21" s="1"/>
      <c r="G21" s="13" t="e">
        <v>#REF!</v>
      </c>
      <c r="H21" s="13" t="e">
        <v>#REF!</v>
      </c>
      <c r="I21" s="13" t="e">
        <v>#REF!</v>
      </c>
      <c r="J21" s="13" t="e">
        <v>#REF!</v>
      </c>
      <c r="K21" s="13" t="e">
        <v>#REF!</v>
      </c>
      <c r="L21" s="13">
        <v>1730098</v>
      </c>
      <c r="M21" s="13">
        <v>1731665</v>
      </c>
      <c r="N21" s="13">
        <v>1753476</v>
      </c>
      <c r="O21" s="13">
        <v>1718842</v>
      </c>
      <c r="P21" s="13">
        <v>1671234</v>
      </c>
      <c r="Q21" s="13">
        <v>1663388</v>
      </c>
      <c r="R21" s="13">
        <v>1649478</v>
      </c>
      <c r="S21" s="13">
        <v>1704176.7644500001</v>
      </c>
      <c r="T21" s="13">
        <v>1625791</v>
      </c>
      <c r="U21" s="13">
        <v>1589135</v>
      </c>
      <c r="V21" s="13">
        <v>1569658</v>
      </c>
      <c r="W21" s="13">
        <v>1511320</v>
      </c>
    </row>
    <row r="22" spans="1:23">
      <c r="C22" s="2" t="s">
        <v>9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663747</v>
      </c>
      <c r="M22" s="14">
        <v>675131</v>
      </c>
      <c r="N22" s="14">
        <v>700800</v>
      </c>
      <c r="O22" s="14">
        <v>687044</v>
      </c>
      <c r="P22" s="14">
        <v>664867</v>
      </c>
      <c r="Q22" s="14">
        <v>657226</v>
      </c>
      <c r="R22" s="14">
        <v>659819</v>
      </c>
      <c r="S22" s="14">
        <v>684962</v>
      </c>
      <c r="T22" s="14">
        <v>657487</v>
      </c>
      <c r="U22" s="14">
        <v>643961</v>
      </c>
      <c r="V22" s="14">
        <v>643328</v>
      </c>
      <c r="W22" s="14">
        <v>613595</v>
      </c>
    </row>
    <row r="23" spans="1:23">
      <c r="D23" s="2" t="s">
        <v>2</v>
      </c>
      <c r="L23" s="15">
        <v>575645</v>
      </c>
      <c r="M23" s="15">
        <v>586048</v>
      </c>
      <c r="N23" s="15">
        <v>610598</v>
      </c>
      <c r="O23" s="15">
        <v>599080</v>
      </c>
      <c r="P23" s="15">
        <v>580696</v>
      </c>
      <c r="Q23" s="15">
        <v>574873</v>
      </c>
      <c r="R23" s="15">
        <v>576700</v>
      </c>
      <c r="S23" s="15">
        <v>597645</v>
      </c>
      <c r="T23" s="15">
        <v>574149</v>
      </c>
      <c r="U23" s="15">
        <v>562095</v>
      </c>
      <c r="V23" s="15">
        <v>560288</v>
      </c>
      <c r="W23" s="15">
        <v>536004</v>
      </c>
    </row>
    <row r="24" spans="1:23">
      <c r="D24" s="2" t="s">
        <v>3</v>
      </c>
      <c r="L24" s="15">
        <v>88102</v>
      </c>
      <c r="M24" s="15">
        <v>89083</v>
      </c>
      <c r="N24" s="15">
        <v>90202</v>
      </c>
      <c r="O24" s="15">
        <v>87964</v>
      </c>
      <c r="P24" s="15">
        <v>84171</v>
      </c>
      <c r="Q24" s="15">
        <v>82353</v>
      </c>
      <c r="R24" s="15">
        <v>83119</v>
      </c>
      <c r="S24" s="15">
        <v>87317</v>
      </c>
      <c r="T24" s="15">
        <v>83338</v>
      </c>
      <c r="U24" s="15">
        <v>81866</v>
      </c>
      <c r="V24" s="15">
        <v>83040</v>
      </c>
      <c r="W24" s="15">
        <v>77591</v>
      </c>
    </row>
    <row r="25" spans="1:23" ht="6.75" customHeight="1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C26" s="2" t="s">
        <v>60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88</v>
      </c>
      <c r="M26" s="14">
        <v>87</v>
      </c>
      <c r="N26" s="14">
        <v>87</v>
      </c>
      <c r="O26" s="14">
        <v>87</v>
      </c>
      <c r="P26" s="14">
        <v>84</v>
      </c>
      <c r="Q26" s="14">
        <v>84</v>
      </c>
      <c r="R26" s="14">
        <v>77</v>
      </c>
      <c r="S26" s="14">
        <v>78.764449999999997</v>
      </c>
      <c r="T26" s="14">
        <v>77</v>
      </c>
      <c r="U26" s="14">
        <v>76</v>
      </c>
      <c r="V26" s="14">
        <v>75</v>
      </c>
      <c r="W26" s="14">
        <v>72</v>
      </c>
    </row>
    <row r="27" spans="1:23" hidden="1">
      <c r="D27" s="2" t="s">
        <v>61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</row>
    <row r="28" spans="1:23">
      <c r="D28" s="2" t="s">
        <v>62</v>
      </c>
      <c r="L28" s="15">
        <v>22</v>
      </c>
      <c r="M28" s="15">
        <v>21</v>
      </c>
      <c r="N28" s="15">
        <v>21</v>
      </c>
      <c r="O28" s="15">
        <v>21</v>
      </c>
      <c r="P28" s="15">
        <v>20</v>
      </c>
      <c r="Q28" s="15">
        <v>20</v>
      </c>
      <c r="R28" s="15">
        <v>18</v>
      </c>
      <c r="S28" s="15">
        <v>18</v>
      </c>
      <c r="T28" s="15">
        <v>18</v>
      </c>
      <c r="U28" s="15">
        <v>18</v>
      </c>
      <c r="V28" s="15">
        <v>17</v>
      </c>
      <c r="W28" s="15">
        <v>16</v>
      </c>
    </row>
    <row r="29" spans="1:23" hidden="1">
      <c r="D29" s="2" t="s">
        <v>63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</row>
    <row r="30" spans="1:23">
      <c r="D30" s="2" t="s">
        <v>64</v>
      </c>
      <c r="L30" s="15">
        <v>66</v>
      </c>
      <c r="M30" s="15">
        <v>66</v>
      </c>
      <c r="N30" s="15">
        <v>66</v>
      </c>
      <c r="O30" s="15">
        <v>66</v>
      </c>
      <c r="P30" s="15">
        <v>64</v>
      </c>
      <c r="Q30" s="15">
        <v>64</v>
      </c>
      <c r="R30" s="15">
        <v>59</v>
      </c>
      <c r="S30" s="15">
        <v>60.764449999999997</v>
      </c>
      <c r="T30" s="15">
        <v>59</v>
      </c>
      <c r="U30" s="15">
        <v>58</v>
      </c>
      <c r="V30" s="15">
        <v>58</v>
      </c>
      <c r="W30" s="15">
        <v>56</v>
      </c>
    </row>
    <row r="31" spans="1:23" hidden="1">
      <c r="D31" s="2" t="s">
        <v>65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</row>
    <row r="32" spans="1:23" ht="7.5" customHeight="1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C33" s="2" t="s">
        <v>66</v>
      </c>
      <c r="L33" s="15">
        <v>1066263</v>
      </c>
      <c r="M33" s="15">
        <v>1056447</v>
      </c>
      <c r="N33" s="15">
        <v>1052589</v>
      </c>
      <c r="O33" s="15">
        <v>1031711</v>
      </c>
      <c r="P33" s="15">
        <v>1006283</v>
      </c>
      <c r="Q33" s="15">
        <v>1006078</v>
      </c>
      <c r="R33" s="15">
        <v>989582</v>
      </c>
      <c r="S33" s="15">
        <v>1019136</v>
      </c>
      <c r="T33" s="15">
        <v>968227</v>
      </c>
      <c r="U33" s="15">
        <v>945098</v>
      </c>
      <c r="V33" s="15">
        <v>926255</v>
      </c>
      <c r="W33" s="15">
        <v>897653</v>
      </c>
    </row>
    <row r="34" spans="1:23" ht="7.5" customHeight="1"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7.5" customHeight="1">
      <c r="A35" s="9"/>
      <c r="B35" s="9"/>
      <c r="C35" s="9"/>
      <c r="D35" s="9"/>
      <c r="E35" s="9"/>
      <c r="F35" s="9"/>
    </row>
    <row r="36" spans="1:23">
      <c r="A36" s="2" t="s">
        <v>67</v>
      </c>
    </row>
    <row r="37" spans="1:23" ht="7.5" customHeight="1">
      <c r="A37" s="1"/>
    </row>
    <row r="38" spans="1:23">
      <c r="A38" s="79" t="s">
        <v>8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>
        <v>48.95</v>
      </c>
      <c r="M38" s="79">
        <v>48.4</v>
      </c>
      <c r="N38" s="79">
        <v>48.2</v>
      </c>
      <c r="O38" s="79">
        <v>47.45</v>
      </c>
      <c r="P38" s="79">
        <v>46.35</v>
      </c>
      <c r="Q38" s="79">
        <v>46.35</v>
      </c>
      <c r="R38" s="79">
        <v>45.5</v>
      </c>
      <c r="S38" s="79">
        <v>46.85</v>
      </c>
      <c r="T38" s="79">
        <v>45</v>
      </c>
      <c r="U38" s="79">
        <v>43.85</v>
      </c>
      <c r="V38" s="79">
        <v>42.85</v>
      </c>
      <c r="W38" s="79">
        <v>41.6</v>
      </c>
    </row>
    <row r="39" spans="1:23" ht="6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</row>
    <row r="40" spans="1:23" ht="7.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</row>
    <row r="41" spans="1:23">
      <c r="A41" s="11" t="s">
        <v>22</v>
      </c>
      <c r="G41" s="2"/>
      <c r="H41" s="2"/>
      <c r="I41" s="2"/>
      <c r="J41" s="2"/>
      <c r="K41" s="2"/>
    </row>
    <row r="42" spans="1:23">
      <c r="A42" s="11" t="s">
        <v>68</v>
      </c>
      <c r="G42" s="2"/>
      <c r="H42" s="2"/>
      <c r="I42" s="2"/>
      <c r="J42" s="2"/>
      <c r="K42" s="2"/>
    </row>
    <row r="43" spans="1:23">
      <c r="A43" s="48" t="s">
        <v>130</v>
      </c>
      <c r="G43" s="2"/>
      <c r="H43" s="2"/>
      <c r="I43" s="2"/>
      <c r="J43" s="2"/>
      <c r="K43" s="2"/>
      <c r="Q43" s="2" t="s">
        <v>35</v>
      </c>
    </row>
    <row r="44" spans="1:2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</row>
    <row r="45" spans="1:23">
      <c r="A45" s="11"/>
      <c r="F45" s="11"/>
    </row>
    <row r="46" spans="1:23">
      <c r="F46" s="11"/>
    </row>
    <row r="47" spans="1:23">
      <c r="A47" s="11" t="s">
        <v>35</v>
      </c>
      <c r="F47" s="11"/>
    </row>
    <row r="48" spans="1:23">
      <c r="F48" s="11"/>
    </row>
    <row r="55" spans="12:12">
      <c r="L55" s="79"/>
    </row>
    <row r="56" spans="12:12">
      <c r="L56" s="11"/>
    </row>
    <row r="57" spans="12:12">
      <c r="L57" s="11"/>
    </row>
    <row r="58" spans="12:12">
      <c r="L58" s="11"/>
    </row>
    <row r="59" spans="12:12">
      <c r="L59" s="15"/>
    </row>
  </sheetData>
  <mergeCells count="1">
    <mergeCell ref="A5:F5"/>
  </mergeCells>
  <pageMargins left="0.55118110236220474" right="0" top="0.78740157480314965" bottom="0" header="0" footer="0"/>
  <pageSetup paperSize="9" scale="65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8E18-C590-43B9-8626-76B02C262437}">
  <sheetPr>
    <pageSetUpPr fitToPage="1"/>
  </sheetPr>
  <dimension ref="A1:R51"/>
  <sheetViews>
    <sheetView topLeftCell="A4" workbookViewId="0">
      <selection activeCell="G13" sqref="G13"/>
    </sheetView>
  </sheetViews>
  <sheetFormatPr defaultRowHeight="12.75"/>
  <cols>
    <col min="1" max="2" width="1.7109375" style="98" customWidth="1"/>
    <col min="3" max="3" width="2" style="98" customWidth="1"/>
    <col min="4" max="4" width="1.85546875" style="98" customWidth="1"/>
    <col min="5" max="5" width="1.7109375" style="98" customWidth="1"/>
    <col min="6" max="6" width="16.42578125" style="98" customWidth="1"/>
    <col min="7" max="9" width="9.42578125" style="98" customWidth="1"/>
    <col min="10" max="256" width="9.140625" style="98"/>
    <col min="257" max="258" width="1.7109375" style="98" customWidth="1"/>
    <col min="259" max="259" width="2" style="98" customWidth="1"/>
    <col min="260" max="260" width="1.85546875" style="98" customWidth="1"/>
    <col min="261" max="261" width="1.7109375" style="98" customWidth="1"/>
    <col min="262" max="262" width="16.42578125" style="98" customWidth="1"/>
    <col min="263" max="265" width="9.42578125" style="98" customWidth="1"/>
    <col min="266" max="512" width="9.140625" style="98"/>
    <col min="513" max="514" width="1.7109375" style="98" customWidth="1"/>
    <col min="515" max="515" width="2" style="98" customWidth="1"/>
    <col min="516" max="516" width="1.85546875" style="98" customWidth="1"/>
    <col min="517" max="517" width="1.7109375" style="98" customWidth="1"/>
    <col min="518" max="518" width="16.42578125" style="98" customWidth="1"/>
    <col min="519" max="521" width="9.42578125" style="98" customWidth="1"/>
    <col min="522" max="768" width="9.140625" style="98"/>
    <col min="769" max="770" width="1.7109375" style="98" customWidth="1"/>
    <col min="771" max="771" width="2" style="98" customWidth="1"/>
    <col min="772" max="772" width="1.85546875" style="98" customWidth="1"/>
    <col min="773" max="773" width="1.7109375" style="98" customWidth="1"/>
    <col min="774" max="774" width="16.42578125" style="98" customWidth="1"/>
    <col min="775" max="777" width="9.42578125" style="98" customWidth="1"/>
    <col min="778" max="1024" width="9.140625" style="98"/>
    <col min="1025" max="1026" width="1.7109375" style="98" customWidth="1"/>
    <col min="1027" max="1027" width="2" style="98" customWidth="1"/>
    <col min="1028" max="1028" width="1.85546875" style="98" customWidth="1"/>
    <col min="1029" max="1029" width="1.7109375" style="98" customWidth="1"/>
    <col min="1030" max="1030" width="16.42578125" style="98" customWidth="1"/>
    <col min="1031" max="1033" width="9.42578125" style="98" customWidth="1"/>
    <col min="1034" max="1280" width="9.140625" style="98"/>
    <col min="1281" max="1282" width="1.7109375" style="98" customWidth="1"/>
    <col min="1283" max="1283" width="2" style="98" customWidth="1"/>
    <col min="1284" max="1284" width="1.85546875" style="98" customWidth="1"/>
    <col min="1285" max="1285" width="1.7109375" style="98" customWidth="1"/>
    <col min="1286" max="1286" width="16.42578125" style="98" customWidth="1"/>
    <col min="1287" max="1289" width="9.42578125" style="98" customWidth="1"/>
    <col min="1290" max="1536" width="9.140625" style="98"/>
    <col min="1537" max="1538" width="1.7109375" style="98" customWidth="1"/>
    <col min="1539" max="1539" width="2" style="98" customWidth="1"/>
    <col min="1540" max="1540" width="1.85546875" style="98" customWidth="1"/>
    <col min="1541" max="1541" width="1.7109375" style="98" customWidth="1"/>
    <col min="1542" max="1542" width="16.42578125" style="98" customWidth="1"/>
    <col min="1543" max="1545" width="9.42578125" style="98" customWidth="1"/>
    <col min="1546" max="1792" width="9.140625" style="98"/>
    <col min="1793" max="1794" width="1.7109375" style="98" customWidth="1"/>
    <col min="1795" max="1795" width="2" style="98" customWidth="1"/>
    <col min="1796" max="1796" width="1.85546875" style="98" customWidth="1"/>
    <col min="1797" max="1797" width="1.7109375" style="98" customWidth="1"/>
    <col min="1798" max="1798" width="16.42578125" style="98" customWidth="1"/>
    <col min="1799" max="1801" width="9.42578125" style="98" customWidth="1"/>
    <col min="1802" max="2048" width="9.140625" style="98"/>
    <col min="2049" max="2050" width="1.7109375" style="98" customWidth="1"/>
    <col min="2051" max="2051" width="2" style="98" customWidth="1"/>
    <col min="2052" max="2052" width="1.85546875" style="98" customWidth="1"/>
    <col min="2053" max="2053" width="1.7109375" style="98" customWidth="1"/>
    <col min="2054" max="2054" width="16.42578125" style="98" customWidth="1"/>
    <col min="2055" max="2057" width="9.42578125" style="98" customWidth="1"/>
    <col min="2058" max="2304" width="9.140625" style="98"/>
    <col min="2305" max="2306" width="1.7109375" style="98" customWidth="1"/>
    <col min="2307" max="2307" width="2" style="98" customWidth="1"/>
    <col min="2308" max="2308" width="1.85546875" style="98" customWidth="1"/>
    <col min="2309" max="2309" width="1.7109375" style="98" customWidth="1"/>
    <col min="2310" max="2310" width="16.42578125" style="98" customWidth="1"/>
    <col min="2311" max="2313" width="9.42578125" style="98" customWidth="1"/>
    <col min="2314" max="2560" width="9.140625" style="98"/>
    <col min="2561" max="2562" width="1.7109375" style="98" customWidth="1"/>
    <col min="2563" max="2563" width="2" style="98" customWidth="1"/>
    <col min="2564" max="2564" width="1.85546875" style="98" customWidth="1"/>
    <col min="2565" max="2565" width="1.7109375" style="98" customWidth="1"/>
    <col min="2566" max="2566" width="16.42578125" style="98" customWidth="1"/>
    <col min="2567" max="2569" width="9.42578125" style="98" customWidth="1"/>
    <col min="2570" max="2816" width="9.140625" style="98"/>
    <col min="2817" max="2818" width="1.7109375" style="98" customWidth="1"/>
    <col min="2819" max="2819" width="2" style="98" customWidth="1"/>
    <col min="2820" max="2820" width="1.85546875" style="98" customWidth="1"/>
    <col min="2821" max="2821" width="1.7109375" style="98" customWidth="1"/>
    <col min="2822" max="2822" width="16.42578125" style="98" customWidth="1"/>
    <col min="2823" max="2825" width="9.42578125" style="98" customWidth="1"/>
    <col min="2826" max="3072" width="9.140625" style="98"/>
    <col min="3073" max="3074" width="1.7109375" style="98" customWidth="1"/>
    <col min="3075" max="3075" width="2" style="98" customWidth="1"/>
    <col min="3076" max="3076" width="1.85546875" style="98" customWidth="1"/>
    <col min="3077" max="3077" width="1.7109375" style="98" customWidth="1"/>
    <col min="3078" max="3078" width="16.42578125" style="98" customWidth="1"/>
    <col min="3079" max="3081" width="9.42578125" style="98" customWidth="1"/>
    <col min="3082" max="3328" width="9.140625" style="98"/>
    <col min="3329" max="3330" width="1.7109375" style="98" customWidth="1"/>
    <col min="3331" max="3331" width="2" style="98" customWidth="1"/>
    <col min="3332" max="3332" width="1.85546875" style="98" customWidth="1"/>
    <col min="3333" max="3333" width="1.7109375" style="98" customWidth="1"/>
    <col min="3334" max="3334" width="16.42578125" style="98" customWidth="1"/>
    <col min="3335" max="3337" width="9.42578125" style="98" customWidth="1"/>
    <col min="3338" max="3584" width="9.140625" style="98"/>
    <col min="3585" max="3586" width="1.7109375" style="98" customWidth="1"/>
    <col min="3587" max="3587" width="2" style="98" customWidth="1"/>
    <col min="3588" max="3588" width="1.85546875" style="98" customWidth="1"/>
    <col min="3589" max="3589" width="1.7109375" style="98" customWidth="1"/>
    <col min="3590" max="3590" width="16.42578125" style="98" customWidth="1"/>
    <col min="3591" max="3593" width="9.42578125" style="98" customWidth="1"/>
    <col min="3594" max="3840" width="9.140625" style="98"/>
    <col min="3841" max="3842" width="1.7109375" style="98" customWidth="1"/>
    <col min="3843" max="3843" width="2" style="98" customWidth="1"/>
    <col min="3844" max="3844" width="1.85546875" style="98" customWidth="1"/>
    <col min="3845" max="3845" width="1.7109375" style="98" customWidth="1"/>
    <col min="3846" max="3846" width="16.42578125" style="98" customWidth="1"/>
    <col min="3847" max="3849" width="9.42578125" style="98" customWidth="1"/>
    <col min="3850" max="4096" width="9.140625" style="98"/>
    <col min="4097" max="4098" width="1.7109375" style="98" customWidth="1"/>
    <col min="4099" max="4099" width="2" style="98" customWidth="1"/>
    <col min="4100" max="4100" width="1.85546875" style="98" customWidth="1"/>
    <col min="4101" max="4101" width="1.7109375" style="98" customWidth="1"/>
    <col min="4102" max="4102" width="16.42578125" style="98" customWidth="1"/>
    <col min="4103" max="4105" width="9.42578125" style="98" customWidth="1"/>
    <col min="4106" max="4352" width="9.140625" style="98"/>
    <col min="4353" max="4354" width="1.7109375" style="98" customWidth="1"/>
    <col min="4355" max="4355" width="2" style="98" customWidth="1"/>
    <col min="4356" max="4356" width="1.85546875" style="98" customWidth="1"/>
    <col min="4357" max="4357" width="1.7109375" style="98" customWidth="1"/>
    <col min="4358" max="4358" width="16.42578125" style="98" customWidth="1"/>
    <col min="4359" max="4361" width="9.42578125" style="98" customWidth="1"/>
    <col min="4362" max="4608" width="9.140625" style="98"/>
    <col min="4609" max="4610" width="1.7109375" style="98" customWidth="1"/>
    <col min="4611" max="4611" width="2" style="98" customWidth="1"/>
    <col min="4612" max="4612" width="1.85546875" style="98" customWidth="1"/>
    <col min="4613" max="4613" width="1.7109375" style="98" customWidth="1"/>
    <col min="4614" max="4614" width="16.42578125" style="98" customWidth="1"/>
    <col min="4615" max="4617" width="9.42578125" style="98" customWidth="1"/>
    <col min="4618" max="4864" width="9.140625" style="98"/>
    <col min="4865" max="4866" width="1.7109375" style="98" customWidth="1"/>
    <col min="4867" max="4867" width="2" style="98" customWidth="1"/>
    <col min="4868" max="4868" width="1.85546875" style="98" customWidth="1"/>
    <col min="4869" max="4869" width="1.7109375" style="98" customWidth="1"/>
    <col min="4870" max="4870" width="16.42578125" style="98" customWidth="1"/>
    <col min="4871" max="4873" width="9.42578125" style="98" customWidth="1"/>
    <col min="4874" max="5120" width="9.140625" style="98"/>
    <col min="5121" max="5122" width="1.7109375" style="98" customWidth="1"/>
    <col min="5123" max="5123" width="2" style="98" customWidth="1"/>
    <col min="5124" max="5124" width="1.85546875" style="98" customWidth="1"/>
    <col min="5125" max="5125" width="1.7109375" style="98" customWidth="1"/>
    <col min="5126" max="5126" width="16.42578125" style="98" customWidth="1"/>
    <col min="5127" max="5129" width="9.42578125" style="98" customWidth="1"/>
    <col min="5130" max="5376" width="9.140625" style="98"/>
    <col min="5377" max="5378" width="1.7109375" style="98" customWidth="1"/>
    <col min="5379" max="5379" width="2" style="98" customWidth="1"/>
    <col min="5380" max="5380" width="1.85546875" style="98" customWidth="1"/>
    <col min="5381" max="5381" width="1.7109375" style="98" customWidth="1"/>
    <col min="5382" max="5382" width="16.42578125" style="98" customWidth="1"/>
    <col min="5383" max="5385" width="9.42578125" style="98" customWidth="1"/>
    <col min="5386" max="5632" width="9.140625" style="98"/>
    <col min="5633" max="5634" width="1.7109375" style="98" customWidth="1"/>
    <col min="5635" max="5635" width="2" style="98" customWidth="1"/>
    <col min="5636" max="5636" width="1.85546875" style="98" customWidth="1"/>
    <col min="5637" max="5637" width="1.7109375" style="98" customWidth="1"/>
    <col min="5638" max="5638" width="16.42578125" style="98" customWidth="1"/>
    <col min="5639" max="5641" width="9.42578125" style="98" customWidth="1"/>
    <col min="5642" max="5888" width="9.140625" style="98"/>
    <col min="5889" max="5890" width="1.7109375" style="98" customWidth="1"/>
    <col min="5891" max="5891" width="2" style="98" customWidth="1"/>
    <col min="5892" max="5892" width="1.85546875" style="98" customWidth="1"/>
    <col min="5893" max="5893" width="1.7109375" style="98" customWidth="1"/>
    <col min="5894" max="5894" width="16.42578125" style="98" customWidth="1"/>
    <col min="5895" max="5897" width="9.42578125" style="98" customWidth="1"/>
    <col min="5898" max="6144" width="9.140625" style="98"/>
    <col min="6145" max="6146" width="1.7109375" style="98" customWidth="1"/>
    <col min="6147" max="6147" width="2" style="98" customWidth="1"/>
    <col min="6148" max="6148" width="1.85546875" style="98" customWidth="1"/>
    <col min="6149" max="6149" width="1.7109375" style="98" customWidth="1"/>
    <col min="6150" max="6150" width="16.42578125" style="98" customWidth="1"/>
    <col min="6151" max="6153" width="9.42578125" style="98" customWidth="1"/>
    <col min="6154" max="6400" width="9.140625" style="98"/>
    <col min="6401" max="6402" width="1.7109375" style="98" customWidth="1"/>
    <col min="6403" max="6403" width="2" style="98" customWidth="1"/>
    <col min="6404" max="6404" width="1.85546875" style="98" customWidth="1"/>
    <col min="6405" max="6405" width="1.7109375" style="98" customWidth="1"/>
    <col min="6406" max="6406" width="16.42578125" style="98" customWidth="1"/>
    <col min="6407" max="6409" width="9.42578125" style="98" customWidth="1"/>
    <col min="6410" max="6656" width="9.140625" style="98"/>
    <col min="6657" max="6658" width="1.7109375" style="98" customWidth="1"/>
    <col min="6659" max="6659" width="2" style="98" customWidth="1"/>
    <col min="6660" max="6660" width="1.85546875" style="98" customWidth="1"/>
    <col min="6661" max="6661" width="1.7109375" style="98" customWidth="1"/>
    <col min="6662" max="6662" width="16.42578125" style="98" customWidth="1"/>
    <col min="6663" max="6665" width="9.42578125" style="98" customWidth="1"/>
    <col min="6666" max="6912" width="9.140625" style="98"/>
    <col min="6913" max="6914" width="1.7109375" style="98" customWidth="1"/>
    <col min="6915" max="6915" width="2" style="98" customWidth="1"/>
    <col min="6916" max="6916" width="1.85546875" style="98" customWidth="1"/>
    <col min="6917" max="6917" width="1.7109375" style="98" customWidth="1"/>
    <col min="6918" max="6918" width="16.42578125" style="98" customWidth="1"/>
    <col min="6919" max="6921" width="9.42578125" style="98" customWidth="1"/>
    <col min="6922" max="7168" width="9.140625" style="98"/>
    <col min="7169" max="7170" width="1.7109375" style="98" customWidth="1"/>
    <col min="7171" max="7171" width="2" style="98" customWidth="1"/>
    <col min="7172" max="7172" width="1.85546875" style="98" customWidth="1"/>
    <col min="7173" max="7173" width="1.7109375" style="98" customWidth="1"/>
    <col min="7174" max="7174" width="16.42578125" style="98" customWidth="1"/>
    <col min="7175" max="7177" width="9.42578125" style="98" customWidth="1"/>
    <col min="7178" max="7424" width="9.140625" style="98"/>
    <col min="7425" max="7426" width="1.7109375" style="98" customWidth="1"/>
    <col min="7427" max="7427" width="2" style="98" customWidth="1"/>
    <col min="7428" max="7428" width="1.85546875" style="98" customWidth="1"/>
    <col min="7429" max="7429" width="1.7109375" style="98" customWidth="1"/>
    <col min="7430" max="7430" width="16.42578125" style="98" customWidth="1"/>
    <col min="7431" max="7433" width="9.42578125" style="98" customWidth="1"/>
    <col min="7434" max="7680" width="9.140625" style="98"/>
    <col min="7681" max="7682" width="1.7109375" style="98" customWidth="1"/>
    <col min="7683" max="7683" width="2" style="98" customWidth="1"/>
    <col min="7684" max="7684" width="1.85546875" style="98" customWidth="1"/>
    <col min="7685" max="7685" width="1.7109375" style="98" customWidth="1"/>
    <col min="7686" max="7686" width="16.42578125" style="98" customWidth="1"/>
    <col min="7687" max="7689" width="9.42578125" style="98" customWidth="1"/>
    <col min="7690" max="7936" width="9.140625" style="98"/>
    <col min="7937" max="7938" width="1.7109375" style="98" customWidth="1"/>
    <col min="7939" max="7939" width="2" style="98" customWidth="1"/>
    <col min="7940" max="7940" width="1.85546875" style="98" customWidth="1"/>
    <col min="7941" max="7941" width="1.7109375" style="98" customWidth="1"/>
    <col min="7942" max="7942" width="16.42578125" style="98" customWidth="1"/>
    <col min="7943" max="7945" width="9.42578125" style="98" customWidth="1"/>
    <col min="7946" max="8192" width="9.140625" style="98"/>
    <col min="8193" max="8194" width="1.7109375" style="98" customWidth="1"/>
    <col min="8195" max="8195" width="2" style="98" customWidth="1"/>
    <col min="8196" max="8196" width="1.85546875" style="98" customWidth="1"/>
    <col min="8197" max="8197" width="1.7109375" style="98" customWidth="1"/>
    <col min="8198" max="8198" width="16.42578125" style="98" customWidth="1"/>
    <col min="8199" max="8201" width="9.42578125" style="98" customWidth="1"/>
    <col min="8202" max="8448" width="9.140625" style="98"/>
    <col min="8449" max="8450" width="1.7109375" style="98" customWidth="1"/>
    <col min="8451" max="8451" width="2" style="98" customWidth="1"/>
    <col min="8452" max="8452" width="1.85546875" style="98" customWidth="1"/>
    <col min="8453" max="8453" width="1.7109375" style="98" customWidth="1"/>
    <col min="8454" max="8454" width="16.42578125" style="98" customWidth="1"/>
    <col min="8455" max="8457" width="9.42578125" style="98" customWidth="1"/>
    <col min="8458" max="8704" width="9.140625" style="98"/>
    <col min="8705" max="8706" width="1.7109375" style="98" customWidth="1"/>
    <col min="8707" max="8707" width="2" style="98" customWidth="1"/>
    <col min="8708" max="8708" width="1.85546875" style="98" customWidth="1"/>
    <col min="8709" max="8709" width="1.7109375" style="98" customWidth="1"/>
    <col min="8710" max="8710" width="16.42578125" style="98" customWidth="1"/>
    <col min="8711" max="8713" width="9.42578125" style="98" customWidth="1"/>
    <col min="8714" max="8960" width="9.140625" style="98"/>
    <col min="8961" max="8962" width="1.7109375" style="98" customWidth="1"/>
    <col min="8963" max="8963" width="2" style="98" customWidth="1"/>
    <col min="8964" max="8964" width="1.85546875" style="98" customWidth="1"/>
    <col min="8965" max="8965" width="1.7109375" style="98" customWidth="1"/>
    <col min="8966" max="8966" width="16.42578125" style="98" customWidth="1"/>
    <col min="8967" max="8969" width="9.42578125" style="98" customWidth="1"/>
    <col min="8970" max="9216" width="9.140625" style="98"/>
    <col min="9217" max="9218" width="1.7109375" style="98" customWidth="1"/>
    <col min="9219" max="9219" width="2" style="98" customWidth="1"/>
    <col min="9220" max="9220" width="1.85546875" style="98" customWidth="1"/>
    <col min="9221" max="9221" width="1.7109375" style="98" customWidth="1"/>
    <col min="9222" max="9222" width="16.42578125" style="98" customWidth="1"/>
    <col min="9223" max="9225" width="9.42578125" style="98" customWidth="1"/>
    <col min="9226" max="9472" width="9.140625" style="98"/>
    <col min="9473" max="9474" width="1.7109375" style="98" customWidth="1"/>
    <col min="9475" max="9475" width="2" style="98" customWidth="1"/>
    <col min="9476" max="9476" width="1.85546875" style="98" customWidth="1"/>
    <col min="9477" max="9477" width="1.7109375" style="98" customWidth="1"/>
    <col min="9478" max="9478" width="16.42578125" style="98" customWidth="1"/>
    <col min="9479" max="9481" width="9.42578125" style="98" customWidth="1"/>
    <col min="9482" max="9728" width="9.140625" style="98"/>
    <col min="9729" max="9730" width="1.7109375" style="98" customWidth="1"/>
    <col min="9731" max="9731" width="2" style="98" customWidth="1"/>
    <col min="9732" max="9732" width="1.85546875" style="98" customWidth="1"/>
    <col min="9733" max="9733" width="1.7109375" style="98" customWidth="1"/>
    <col min="9734" max="9734" width="16.42578125" style="98" customWidth="1"/>
    <col min="9735" max="9737" width="9.42578125" style="98" customWidth="1"/>
    <col min="9738" max="9984" width="9.140625" style="98"/>
    <col min="9985" max="9986" width="1.7109375" style="98" customWidth="1"/>
    <col min="9987" max="9987" width="2" style="98" customWidth="1"/>
    <col min="9988" max="9988" width="1.85546875" style="98" customWidth="1"/>
    <col min="9989" max="9989" width="1.7109375" style="98" customWidth="1"/>
    <col min="9990" max="9990" width="16.42578125" style="98" customWidth="1"/>
    <col min="9991" max="9993" width="9.42578125" style="98" customWidth="1"/>
    <col min="9994" max="10240" width="9.140625" style="98"/>
    <col min="10241" max="10242" width="1.7109375" style="98" customWidth="1"/>
    <col min="10243" max="10243" width="2" style="98" customWidth="1"/>
    <col min="10244" max="10244" width="1.85546875" style="98" customWidth="1"/>
    <col min="10245" max="10245" width="1.7109375" style="98" customWidth="1"/>
    <col min="10246" max="10246" width="16.42578125" style="98" customWidth="1"/>
    <col min="10247" max="10249" width="9.42578125" style="98" customWidth="1"/>
    <col min="10250" max="10496" width="9.140625" style="98"/>
    <col min="10497" max="10498" width="1.7109375" style="98" customWidth="1"/>
    <col min="10499" max="10499" width="2" style="98" customWidth="1"/>
    <col min="10500" max="10500" width="1.85546875" style="98" customWidth="1"/>
    <col min="10501" max="10501" width="1.7109375" style="98" customWidth="1"/>
    <col min="10502" max="10502" width="16.42578125" style="98" customWidth="1"/>
    <col min="10503" max="10505" width="9.42578125" style="98" customWidth="1"/>
    <col min="10506" max="10752" width="9.140625" style="98"/>
    <col min="10753" max="10754" width="1.7109375" style="98" customWidth="1"/>
    <col min="10755" max="10755" width="2" style="98" customWidth="1"/>
    <col min="10756" max="10756" width="1.85546875" style="98" customWidth="1"/>
    <col min="10757" max="10757" width="1.7109375" style="98" customWidth="1"/>
    <col min="10758" max="10758" width="16.42578125" style="98" customWidth="1"/>
    <col min="10759" max="10761" width="9.42578125" style="98" customWidth="1"/>
    <col min="10762" max="11008" width="9.140625" style="98"/>
    <col min="11009" max="11010" width="1.7109375" style="98" customWidth="1"/>
    <col min="11011" max="11011" width="2" style="98" customWidth="1"/>
    <col min="11012" max="11012" width="1.85546875" style="98" customWidth="1"/>
    <col min="11013" max="11013" width="1.7109375" style="98" customWidth="1"/>
    <col min="11014" max="11014" width="16.42578125" style="98" customWidth="1"/>
    <col min="11015" max="11017" width="9.42578125" style="98" customWidth="1"/>
    <col min="11018" max="11264" width="9.140625" style="98"/>
    <col min="11265" max="11266" width="1.7109375" style="98" customWidth="1"/>
    <col min="11267" max="11267" width="2" style="98" customWidth="1"/>
    <col min="11268" max="11268" width="1.85546875" style="98" customWidth="1"/>
    <col min="11269" max="11269" width="1.7109375" style="98" customWidth="1"/>
    <col min="11270" max="11270" width="16.42578125" style="98" customWidth="1"/>
    <col min="11271" max="11273" width="9.42578125" style="98" customWidth="1"/>
    <col min="11274" max="11520" width="9.140625" style="98"/>
    <col min="11521" max="11522" width="1.7109375" style="98" customWidth="1"/>
    <col min="11523" max="11523" width="2" style="98" customWidth="1"/>
    <col min="11524" max="11524" width="1.85546875" style="98" customWidth="1"/>
    <col min="11525" max="11525" width="1.7109375" style="98" customWidth="1"/>
    <col min="11526" max="11526" width="16.42578125" style="98" customWidth="1"/>
    <col min="11527" max="11529" width="9.42578125" style="98" customWidth="1"/>
    <col min="11530" max="11776" width="9.140625" style="98"/>
    <col min="11777" max="11778" width="1.7109375" style="98" customWidth="1"/>
    <col min="11779" max="11779" width="2" style="98" customWidth="1"/>
    <col min="11780" max="11780" width="1.85546875" style="98" customWidth="1"/>
    <col min="11781" max="11781" width="1.7109375" style="98" customWidth="1"/>
    <col min="11782" max="11782" width="16.42578125" style="98" customWidth="1"/>
    <col min="11783" max="11785" width="9.42578125" style="98" customWidth="1"/>
    <col min="11786" max="12032" width="9.140625" style="98"/>
    <col min="12033" max="12034" width="1.7109375" style="98" customWidth="1"/>
    <col min="12035" max="12035" width="2" style="98" customWidth="1"/>
    <col min="12036" max="12036" width="1.85546875" style="98" customWidth="1"/>
    <col min="12037" max="12037" width="1.7109375" style="98" customWidth="1"/>
    <col min="12038" max="12038" width="16.42578125" style="98" customWidth="1"/>
    <col min="12039" max="12041" width="9.42578125" style="98" customWidth="1"/>
    <col min="12042" max="12288" width="9.140625" style="98"/>
    <col min="12289" max="12290" width="1.7109375" style="98" customWidth="1"/>
    <col min="12291" max="12291" width="2" style="98" customWidth="1"/>
    <col min="12292" max="12292" width="1.85546875" style="98" customWidth="1"/>
    <col min="12293" max="12293" width="1.7109375" style="98" customWidth="1"/>
    <col min="12294" max="12294" width="16.42578125" style="98" customWidth="1"/>
    <col min="12295" max="12297" width="9.42578125" style="98" customWidth="1"/>
    <col min="12298" max="12544" width="9.140625" style="98"/>
    <col min="12545" max="12546" width="1.7109375" style="98" customWidth="1"/>
    <col min="12547" max="12547" width="2" style="98" customWidth="1"/>
    <col min="12548" max="12548" width="1.85546875" style="98" customWidth="1"/>
    <col min="12549" max="12549" width="1.7109375" style="98" customWidth="1"/>
    <col min="12550" max="12550" width="16.42578125" style="98" customWidth="1"/>
    <col min="12551" max="12553" width="9.42578125" style="98" customWidth="1"/>
    <col min="12554" max="12800" width="9.140625" style="98"/>
    <col min="12801" max="12802" width="1.7109375" style="98" customWidth="1"/>
    <col min="12803" max="12803" width="2" style="98" customWidth="1"/>
    <col min="12804" max="12804" width="1.85546875" style="98" customWidth="1"/>
    <col min="12805" max="12805" width="1.7109375" style="98" customWidth="1"/>
    <col min="12806" max="12806" width="16.42578125" style="98" customWidth="1"/>
    <col min="12807" max="12809" width="9.42578125" style="98" customWidth="1"/>
    <col min="12810" max="13056" width="9.140625" style="98"/>
    <col min="13057" max="13058" width="1.7109375" style="98" customWidth="1"/>
    <col min="13059" max="13059" width="2" style="98" customWidth="1"/>
    <col min="13060" max="13060" width="1.85546875" style="98" customWidth="1"/>
    <col min="13061" max="13061" width="1.7109375" style="98" customWidth="1"/>
    <col min="13062" max="13062" width="16.42578125" style="98" customWidth="1"/>
    <col min="13063" max="13065" width="9.42578125" style="98" customWidth="1"/>
    <col min="13066" max="13312" width="9.140625" style="98"/>
    <col min="13313" max="13314" width="1.7109375" style="98" customWidth="1"/>
    <col min="13315" max="13315" width="2" style="98" customWidth="1"/>
    <col min="13316" max="13316" width="1.85546875" style="98" customWidth="1"/>
    <col min="13317" max="13317" width="1.7109375" style="98" customWidth="1"/>
    <col min="13318" max="13318" width="16.42578125" style="98" customWidth="1"/>
    <col min="13319" max="13321" width="9.42578125" style="98" customWidth="1"/>
    <col min="13322" max="13568" width="9.140625" style="98"/>
    <col min="13569" max="13570" width="1.7109375" style="98" customWidth="1"/>
    <col min="13571" max="13571" width="2" style="98" customWidth="1"/>
    <col min="13572" max="13572" width="1.85546875" style="98" customWidth="1"/>
    <col min="13573" max="13573" width="1.7109375" style="98" customWidth="1"/>
    <col min="13574" max="13574" width="16.42578125" style="98" customWidth="1"/>
    <col min="13575" max="13577" width="9.42578125" style="98" customWidth="1"/>
    <col min="13578" max="13824" width="9.140625" style="98"/>
    <col min="13825" max="13826" width="1.7109375" style="98" customWidth="1"/>
    <col min="13827" max="13827" width="2" style="98" customWidth="1"/>
    <col min="13828" max="13828" width="1.85546875" style="98" customWidth="1"/>
    <col min="13829" max="13829" width="1.7109375" style="98" customWidth="1"/>
    <col min="13830" max="13830" width="16.42578125" style="98" customWidth="1"/>
    <col min="13831" max="13833" width="9.42578125" style="98" customWidth="1"/>
    <col min="13834" max="14080" width="9.140625" style="98"/>
    <col min="14081" max="14082" width="1.7109375" style="98" customWidth="1"/>
    <col min="14083" max="14083" width="2" style="98" customWidth="1"/>
    <col min="14084" max="14084" width="1.85546875" style="98" customWidth="1"/>
    <col min="14085" max="14085" width="1.7109375" style="98" customWidth="1"/>
    <col min="14086" max="14086" width="16.42578125" style="98" customWidth="1"/>
    <col min="14087" max="14089" width="9.42578125" style="98" customWidth="1"/>
    <col min="14090" max="14336" width="9.140625" style="98"/>
    <col min="14337" max="14338" width="1.7109375" style="98" customWidth="1"/>
    <col min="14339" max="14339" width="2" style="98" customWidth="1"/>
    <col min="14340" max="14340" width="1.85546875" style="98" customWidth="1"/>
    <col min="14341" max="14341" width="1.7109375" style="98" customWidth="1"/>
    <col min="14342" max="14342" width="16.42578125" style="98" customWidth="1"/>
    <col min="14343" max="14345" width="9.42578125" style="98" customWidth="1"/>
    <col min="14346" max="14592" width="9.140625" style="98"/>
    <col min="14593" max="14594" width="1.7109375" style="98" customWidth="1"/>
    <col min="14595" max="14595" width="2" style="98" customWidth="1"/>
    <col min="14596" max="14596" width="1.85546875" style="98" customWidth="1"/>
    <col min="14597" max="14597" width="1.7109375" style="98" customWidth="1"/>
    <col min="14598" max="14598" width="16.42578125" style="98" customWidth="1"/>
    <col min="14599" max="14601" width="9.42578125" style="98" customWidth="1"/>
    <col min="14602" max="14848" width="9.140625" style="98"/>
    <col min="14849" max="14850" width="1.7109375" style="98" customWidth="1"/>
    <col min="14851" max="14851" width="2" style="98" customWidth="1"/>
    <col min="14852" max="14852" width="1.85546875" style="98" customWidth="1"/>
    <col min="14853" max="14853" width="1.7109375" style="98" customWidth="1"/>
    <col min="14854" max="14854" width="16.42578125" style="98" customWidth="1"/>
    <col min="14855" max="14857" width="9.42578125" style="98" customWidth="1"/>
    <col min="14858" max="15104" width="9.140625" style="98"/>
    <col min="15105" max="15106" width="1.7109375" style="98" customWidth="1"/>
    <col min="15107" max="15107" width="2" style="98" customWidth="1"/>
    <col min="15108" max="15108" width="1.85546875" style="98" customWidth="1"/>
    <col min="15109" max="15109" width="1.7109375" style="98" customWidth="1"/>
    <col min="15110" max="15110" width="16.42578125" style="98" customWidth="1"/>
    <col min="15111" max="15113" width="9.42578125" style="98" customWidth="1"/>
    <col min="15114" max="15360" width="9.140625" style="98"/>
    <col min="15361" max="15362" width="1.7109375" style="98" customWidth="1"/>
    <col min="15363" max="15363" width="2" style="98" customWidth="1"/>
    <col min="15364" max="15364" width="1.85546875" style="98" customWidth="1"/>
    <col min="15365" max="15365" width="1.7109375" style="98" customWidth="1"/>
    <col min="15366" max="15366" width="16.42578125" style="98" customWidth="1"/>
    <col min="15367" max="15369" width="9.42578125" style="98" customWidth="1"/>
    <col min="15370" max="15616" width="9.140625" style="98"/>
    <col min="15617" max="15618" width="1.7109375" style="98" customWidth="1"/>
    <col min="15619" max="15619" width="2" style="98" customWidth="1"/>
    <col min="15620" max="15620" width="1.85546875" style="98" customWidth="1"/>
    <col min="15621" max="15621" width="1.7109375" style="98" customWidth="1"/>
    <col min="15622" max="15622" width="16.42578125" style="98" customWidth="1"/>
    <col min="15623" max="15625" width="9.42578125" style="98" customWidth="1"/>
    <col min="15626" max="15872" width="9.140625" style="98"/>
    <col min="15873" max="15874" width="1.7109375" style="98" customWidth="1"/>
    <col min="15875" max="15875" width="2" style="98" customWidth="1"/>
    <col min="15876" max="15876" width="1.85546875" style="98" customWidth="1"/>
    <col min="15877" max="15877" width="1.7109375" style="98" customWidth="1"/>
    <col min="15878" max="15878" width="16.42578125" style="98" customWidth="1"/>
    <col min="15879" max="15881" width="9.42578125" style="98" customWidth="1"/>
    <col min="15882" max="16128" width="9.140625" style="98"/>
    <col min="16129" max="16130" width="1.7109375" style="98" customWidth="1"/>
    <col min="16131" max="16131" width="2" style="98" customWidth="1"/>
    <col min="16132" max="16132" width="1.85546875" style="98" customWidth="1"/>
    <col min="16133" max="16133" width="1.7109375" style="98" customWidth="1"/>
    <col min="16134" max="16134" width="16.42578125" style="98" customWidth="1"/>
    <col min="16135" max="16137" width="9.42578125" style="98" customWidth="1"/>
    <col min="16138" max="16384" width="9.140625" style="98"/>
  </cols>
  <sheetData>
    <row r="1" spans="1:18">
      <c r="A1" s="97" t="s">
        <v>133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8">
      <c r="A2" s="97" t="s">
        <v>70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8">
      <c r="A3" s="98" t="s">
        <v>0</v>
      </c>
    </row>
    <row r="5" spans="1:18" ht="17.25" customHeight="1">
      <c r="A5" s="202" t="s">
        <v>1</v>
      </c>
      <c r="B5" s="203"/>
      <c r="C5" s="203"/>
      <c r="D5" s="203"/>
      <c r="E5" s="203"/>
      <c r="F5" s="203"/>
      <c r="G5" s="109" t="s">
        <v>5</v>
      </c>
      <c r="H5" s="109" t="s">
        <v>23</v>
      </c>
      <c r="I5" s="109" t="s">
        <v>24</v>
      </c>
      <c r="J5" s="109" t="s">
        <v>26</v>
      </c>
      <c r="K5" s="109" t="s">
        <v>27</v>
      </c>
      <c r="L5" s="109" t="s">
        <v>36</v>
      </c>
      <c r="M5" s="109" t="s">
        <v>28</v>
      </c>
      <c r="N5" s="109" t="s">
        <v>29</v>
      </c>
      <c r="O5" s="109" t="s">
        <v>39</v>
      </c>
      <c r="P5" s="109" t="s">
        <v>31</v>
      </c>
      <c r="Q5" s="109" t="s">
        <v>32</v>
      </c>
      <c r="R5" s="110" t="s">
        <v>33</v>
      </c>
    </row>
    <row r="6" spans="1:18"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</row>
    <row r="7" spans="1:18">
      <c r="A7" s="97" t="s">
        <v>17</v>
      </c>
      <c r="B7" s="97"/>
      <c r="C7" s="97"/>
      <c r="D7" s="97"/>
      <c r="E7" s="97"/>
      <c r="F7" s="97"/>
      <c r="G7" s="101">
        <f t="shared" ref="G7:R7" si="0">+G9+G16</f>
        <v>563316.826</v>
      </c>
      <c r="H7" s="101">
        <f t="shared" si="0"/>
        <v>561362.826</v>
      </c>
      <c r="I7" s="101">
        <f t="shared" si="0"/>
        <v>557192.826</v>
      </c>
      <c r="J7" s="101">
        <f t="shared" si="0"/>
        <v>545858.826</v>
      </c>
      <c r="K7" s="101">
        <f t="shared" si="0"/>
        <v>529853</v>
      </c>
      <c r="L7" s="101">
        <f t="shared" si="0"/>
        <v>527085</v>
      </c>
      <c r="M7" s="101">
        <f t="shared" si="0"/>
        <v>525974</v>
      </c>
      <c r="N7" s="101">
        <f t="shared" si="0"/>
        <v>537191</v>
      </c>
      <c r="O7" s="101">
        <f t="shared" si="0"/>
        <v>513525</v>
      </c>
      <c r="P7" s="101">
        <f t="shared" si="0"/>
        <v>502834</v>
      </c>
      <c r="Q7" s="101">
        <f t="shared" si="0"/>
        <v>499398</v>
      </c>
      <c r="R7" s="101">
        <f t="shared" si="0"/>
        <v>484184</v>
      </c>
    </row>
    <row r="8" spans="1:18" ht="14.25">
      <c r="A8" s="3"/>
      <c r="B8" s="3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</row>
    <row r="9" spans="1:18">
      <c r="A9" s="97" t="s">
        <v>59</v>
      </c>
      <c r="B9" s="97"/>
      <c r="C9" s="97"/>
      <c r="D9" s="97"/>
      <c r="E9" s="97"/>
      <c r="F9" s="97"/>
      <c r="G9" s="103">
        <f t="shared" ref="G9:R9" si="1">G11+G12</f>
        <v>72093.826000000001</v>
      </c>
      <c r="H9" s="103">
        <f t="shared" si="1"/>
        <v>72087.826000000001</v>
      </c>
      <c r="I9" s="103">
        <f t="shared" si="1"/>
        <v>72080.826000000001</v>
      </c>
      <c r="J9" s="103">
        <f t="shared" si="1"/>
        <v>72003.826000000001</v>
      </c>
      <c r="K9" s="103">
        <f t="shared" si="1"/>
        <v>71999</v>
      </c>
      <c r="L9" s="103">
        <f t="shared" si="1"/>
        <v>71994</v>
      </c>
      <c r="M9" s="103">
        <f t="shared" si="1"/>
        <v>71991</v>
      </c>
      <c r="N9" s="103">
        <f t="shared" si="1"/>
        <v>64987</v>
      </c>
      <c r="O9" s="103">
        <f t="shared" si="1"/>
        <v>64982</v>
      </c>
      <c r="P9" s="103">
        <f t="shared" si="1"/>
        <v>64975</v>
      </c>
      <c r="Q9" s="103">
        <f t="shared" si="1"/>
        <v>64971</v>
      </c>
      <c r="R9" s="103">
        <f t="shared" si="1"/>
        <v>64968</v>
      </c>
    </row>
    <row r="10" spans="1:18"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18">
      <c r="B11" s="98" t="s">
        <v>134</v>
      </c>
      <c r="G11" s="104">
        <v>71956</v>
      </c>
      <c r="H11" s="104">
        <v>71950</v>
      </c>
      <c r="I11" s="104">
        <v>71945</v>
      </c>
      <c r="J11" s="104">
        <v>71868</v>
      </c>
      <c r="K11" s="104">
        <v>71863</v>
      </c>
      <c r="L11" s="104">
        <v>71858</v>
      </c>
      <c r="M11" s="104">
        <v>71855</v>
      </c>
      <c r="N11" s="104">
        <v>64851</v>
      </c>
      <c r="O11" s="104">
        <v>64846</v>
      </c>
      <c r="P11" s="104">
        <v>64839</v>
      </c>
      <c r="Q11" s="104">
        <v>64835</v>
      </c>
      <c r="R11" s="104">
        <v>64832</v>
      </c>
    </row>
    <row r="12" spans="1:18">
      <c r="B12" s="98" t="s">
        <v>135</v>
      </c>
      <c r="G12" s="111">
        <f t="shared" ref="G12:R12" si="2">+SUM(G13:G14)</f>
        <v>137.82599999999999</v>
      </c>
      <c r="H12" s="111">
        <f t="shared" si="2"/>
        <v>137.82599999999999</v>
      </c>
      <c r="I12" s="111">
        <f t="shared" si="2"/>
        <v>135.82599999999999</v>
      </c>
      <c r="J12" s="111">
        <f t="shared" si="2"/>
        <v>135.82599999999999</v>
      </c>
      <c r="K12" s="111">
        <f t="shared" si="2"/>
        <v>136</v>
      </c>
      <c r="L12" s="111">
        <f t="shared" si="2"/>
        <v>136</v>
      </c>
      <c r="M12" s="111">
        <f t="shared" si="2"/>
        <v>136</v>
      </c>
      <c r="N12" s="111">
        <f t="shared" si="2"/>
        <v>136</v>
      </c>
      <c r="O12" s="111">
        <f t="shared" si="2"/>
        <v>136</v>
      </c>
      <c r="P12" s="111">
        <f t="shared" si="2"/>
        <v>136</v>
      </c>
      <c r="Q12" s="111">
        <f t="shared" si="2"/>
        <v>136</v>
      </c>
      <c r="R12" s="111">
        <f t="shared" si="2"/>
        <v>136</v>
      </c>
    </row>
    <row r="13" spans="1:18">
      <c r="C13" s="98" t="s">
        <v>13</v>
      </c>
      <c r="G13" s="104">
        <v>36.826000000000001</v>
      </c>
      <c r="H13" s="104">
        <v>36.826000000000001</v>
      </c>
      <c r="I13" s="104">
        <v>36.826000000000001</v>
      </c>
      <c r="J13" s="104">
        <v>36.826000000000001</v>
      </c>
      <c r="K13" s="104">
        <v>37</v>
      </c>
      <c r="L13" s="104">
        <v>37</v>
      </c>
      <c r="M13" s="104">
        <v>37</v>
      </c>
      <c r="N13" s="104">
        <v>37</v>
      </c>
      <c r="O13" s="104">
        <v>37</v>
      </c>
      <c r="P13" s="104">
        <v>37</v>
      </c>
      <c r="Q13" s="104">
        <v>37</v>
      </c>
      <c r="R13" s="104">
        <v>37</v>
      </c>
    </row>
    <row r="14" spans="1:18">
      <c r="C14" s="98" t="s">
        <v>15</v>
      </c>
      <c r="G14" s="104">
        <v>101</v>
      </c>
      <c r="H14" s="104">
        <v>101</v>
      </c>
      <c r="I14" s="104">
        <v>99</v>
      </c>
      <c r="J14" s="104">
        <v>99</v>
      </c>
      <c r="K14" s="104">
        <v>99</v>
      </c>
      <c r="L14" s="104">
        <v>99</v>
      </c>
      <c r="M14" s="104">
        <v>99</v>
      </c>
      <c r="N14" s="104">
        <v>99</v>
      </c>
      <c r="O14" s="104">
        <v>99</v>
      </c>
      <c r="P14" s="104">
        <v>99</v>
      </c>
      <c r="Q14" s="104">
        <v>99</v>
      </c>
      <c r="R14" s="104">
        <v>99</v>
      </c>
    </row>
    <row r="15" spans="1:18"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</row>
    <row r="16" spans="1:18">
      <c r="A16" s="97" t="s">
        <v>136</v>
      </c>
      <c r="B16" s="97"/>
      <c r="C16" s="97"/>
      <c r="D16" s="97"/>
      <c r="E16" s="97"/>
      <c r="F16" s="97"/>
      <c r="G16" s="103">
        <f t="shared" ref="G16:R16" si="3">+G18+G19</f>
        <v>491223</v>
      </c>
      <c r="H16" s="103">
        <f t="shared" si="3"/>
        <v>489275</v>
      </c>
      <c r="I16" s="103">
        <f t="shared" si="3"/>
        <v>485112</v>
      </c>
      <c r="J16" s="103">
        <f t="shared" si="3"/>
        <v>473855</v>
      </c>
      <c r="K16" s="103">
        <f t="shared" si="3"/>
        <v>457854</v>
      </c>
      <c r="L16" s="103">
        <f t="shared" si="3"/>
        <v>455091</v>
      </c>
      <c r="M16" s="103">
        <f t="shared" si="3"/>
        <v>453983</v>
      </c>
      <c r="N16" s="103">
        <f t="shared" si="3"/>
        <v>472204</v>
      </c>
      <c r="O16" s="103">
        <f t="shared" si="3"/>
        <v>448543</v>
      </c>
      <c r="P16" s="103">
        <f t="shared" si="3"/>
        <v>437859</v>
      </c>
      <c r="Q16" s="103">
        <f t="shared" si="3"/>
        <v>434427</v>
      </c>
      <c r="R16" s="103">
        <f t="shared" si="3"/>
        <v>419216</v>
      </c>
    </row>
    <row r="17" spans="1:18"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18">
      <c r="B18" s="98" t="s">
        <v>134</v>
      </c>
      <c r="G18" s="104">
        <v>486808</v>
      </c>
      <c r="H18" s="104">
        <v>484909</v>
      </c>
      <c r="I18" s="104">
        <v>480763</v>
      </c>
      <c r="J18" s="104">
        <v>469573</v>
      </c>
      <c r="K18" s="104">
        <v>453671</v>
      </c>
      <c r="L18" s="104">
        <v>450908</v>
      </c>
      <c r="M18" s="104">
        <v>449876</v>
      </c>
      <c r="N18" s="104">
        <v>467975</v>
      </c>
      <c r="O18" s="104">
        <v>444478</v>
      </c>
      <c r="P18" s="104">
        <v>433897</v>
      </c>
      <c r="Q18" s="104">
        <v>430553</v>
      </c>
      <c r="R18" s="104">
        <v>415458</v>
      </c>
    </row>
    <row r="19" spans="1:18">
      <c r="B19" s="98" t="s">
        <v>135</v>
      </c>
      <c r="G19" s="111">
        <f t="shared" ref="G19:R19" si="4">+SUM(G20:G23)</f>
        <v>4415</v>
      </c>
      <c r="H19" s="111">
        <f t="shared" si="4"/>
        <v>4366</v>
      </c>
      <c r="I19" s="111">
        <f t="shared" si="4"/>
        <v>4349</v>
      </c>
      <c r="J19" s="111">
        <f t="shared" si="4"/>
        <v>4282</v>
      </c>
      <c r="K19" s="111">
        <f t="shared" si="4"/>
        <v>4183</v>
      </c>
      <c r="L19" s="111">
        <f t="shared" si="4"/>
        <v>4183</v>
      </c>
      <c r="M19" s="111">
        <f t="shared" si="4"/>
        <v>4107</v>
      </c>
      <c r="N19" s="111">
        <f t="shared" si="4"/>
        <v>4229</v>
      </c>
      <c r="O19" s="111">
        <f t="shared" si="4"/>
        <v>4065</v>
      </c>
      <c r="P19" s="111">
        <f t="shared" si="4"/>
        <v>3962</v>
      </c>
      <c r="Q19" s="111">
        <f t="shared" si="4"/>
        <v>3874</v>
      </c>
      <c r="R19" s="111">
        <f t="shared" si="4"/>
        <v>3758</v>
      </c>
    </row>
    <row r="20" spans="1:18">
      <c r="C20" s="98" t="s">
        <v>12</v>
      </c>
      <c r="G20" s="104">
        <v>4377</v>
      </c>
      <c r="H20" s="104">
        <v>4328</v>
      </c>
      <c r="I20" s="104">
        <v>4311</v>
      </c>
      <c r="J20" s="104">
        <v>4245</v>
      </c>
      <c r="K20" s="104">
        <v>4146</v>
      </c>
      <c r="L20" s="104">
        <v>4146</v>
      </c>
      <c r="M20" s="104">
        <v>4071</v>
      </c>
      <c r="N20" s="104">
        <v>4192</v>
      </c>
      <c r="O20" s="104">
        <v>4029</v>
      </c>
      <c r="P20" s="104">
        <v>3927</v>
      </c>
      <c r="Q20" s="104">
        <v>3840</v>
      </c>
      <c r="R20" s="104">
        <v>3725</v>
      </c>
    </row>
    <row r="21" spans="1:18">
      <c r="C21" s="98" t="s">
        <v>13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4">
        <v>0</v>
      </c>
      <c r="O21" s="104">
        <v>0</v>
      </c>
      <c r="P21" s="104">
        <v>0</v>
      </c>
      <c r="Q21" s="104">
        <v>0</v>
      </c>
      <c r="R21" s="104">
        <v>0</v>
      </c>
    </row>
    <row r="22" spans="1:18">
      <c r="C22" s="98" t="s">
        <v>156</v>
      </c>
      <c r="G22" s="104">
        <v>38</v>
      </c>
      <c r="H22" s="104">
        <v>38</v>
      </c>
      <c r="I22" s="104">
        <v>38</v>
      </c>
      <c r="J22" s="104">
        <v>37</v>
      </c>
      <c r="K22" s="104">
        <v>37</v>
      </c>
      <c r="L22" s="104">
        <v>37</v>
      </c>
      <c r="M22" s="104">
        <v>36</v>
      </c>
      <c r="N22" s="104">
        <v>37</v>
      </c>
      <c r="O22" s="104">
        <v>36</v>
      </c>
      <c r="P22" s="104">
        <v>35</v>
      </c>
      <c r="Q22" s="104">
        <v>34</v>
      </c>
      <c r="R22" s="104">
        <v>33</v>
      </c>
    </row>
    <row r="23" spans="1:18">
      <c r="C23" s="98" t="s">
        <v>15</v>
      </c>
      <c r="G23" s="104">
        <v>0</v>
      </c>
      <c r="H23" s="104">
        <v>0</v>
      </c>
      <c r="I23" s="104">
        <v>0</v>
      </c>
      <c r="J23" s="104">
        <v>0</v>
      </c>
      <c r="K23" s="104">
        <v>0</v>
      </c>
      <c r="L23" s="104">
        <v>0</v>
      </c>
      <c r="M23" s="104">
        <v>0</v>
      </c>
      <c r="N23" s="104">
        <v>0</v>
      </c>
      <c r="O23" s="104">
        <v>0</v>
      </c>
      <c r="P23" s="104">
        <v>0</v>
      </c>
      <c r="Q23" s="104">
        <v>0</v>
      </c>
      <c r="R23" s="104">
        <v>0</v>
      </c>
    </row>
    <row r="24" spans="1:18">
      <c r="G24" s="104"/>
    </row>
    <row r="25" spans="1:18">
      <c r="A25" s="99"/>
      <c r="B25" s="99"/>
      <c r="C25" s="99"/>
      <c r="D25" s="99"/>
      <c r="E25" s="99"/>
      <c r="F25" s="99"/>
    </row>
    <row r="26" spans="1:18">
      <c r="A26" s="98" t="s">
        <v>80</v>
      </c>
    </row>
    <row r="27" spans="1:18">
      <c r="A27" s="97"/>
    </row>
    <row r="28" spans="1:18">
      <c r="A28" s="97"/>
    </row>
    <row r="29" spans="1:18">
      <c r="A29" s="97"/>
    </row>
    <row r="30" spans="1:18">
      <c r="A30" s="97"/>
    </row>
    <row r="31" spans="1:18">
      <c r="A31" s="97"/>
    </row>
    <row r="32" spans="1:18">
      <c r="A32" s="97"/>
    </row>
    <row r="33" spans="1:7" ht="14.25">
      <c r="A33" s="112"/>
      <c r="B33" s="113"/>
      <c r="C33" s="113"/>
      <c r="D33" s="113"/>
      <c r="E33" s="113"/>
      <c r="F33" s="113"/>
      <c r="G33" s="112"/>
    </row>
    <row r="34" spans="1:7">
      <c r="A34" s="105" t="s">
        <v>22</v>
      </c>
    </row>
    <row r="35" spans="1:7">
      <c r="A35" s="105" t="s">
        <v>68</v>
      </c>
    </row>
    <row r="36" spans="1:7">
      <c r="A36" s="105" t="s">
        <v>159</v>
      </c>
      <c r="F36" s="105"/>
    </row>
    <row r="37" spans="1:7">
      <c r="A37" s="114" t="s">
        <v>160</v>
      </c>
    </row>
    <row r="38" spans="1:7">
      <c r="A38" s="117"/>
      <c r="F38" s="105"/>
    </row>
    <row r="39" spans="1:7" ht="13.5">
      <c r="A39" s="106" t="s">
        <v>35</v>
      </c>
      <c r="F39" s="105"/>
    </row>
    <row r="40" spans="1:7">
      <c r="F40" s="105"/>
    </row>
    <row r="47" spans="1:7">
      <c r="G47" s="107"/>
    </row>
    <row r="48" spans="1:7">
      <c r="G48" s="108"/>
    </row>
    <row r="49" spans="7:7">
      <c r="G49" s="108"/>
    </row>
    <row r="50" spans="7:7">
      <c r="G50" s="108"/>
    </row>
    <row r="51" spans="7:7">
      <c r="G51" s="104"/>
    </row>
  </sheetData>
  <mergeCells count="1">
    <mergeCell ref="A5:F5"/>
  </mergeCells>
  <pageMargins left="0.55118110236220474" right="0" top="0.98425196850393704" bottom="0" header="0" footer="0"/>
  <pageSetup paperSize="9" scale="73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8">
    <pageSetUpPr fitToPage="1"/>
  </sheetPr>
  <dimension ref="A1:W57"/>
  <sheetViews>
    <sheetView topLeftCell="C3" zoomScale="98" zoomScaleNormal="98" workbookViewId="0">
      <selection activeCell="Q38" sqref="Q38"/>
    </sheetView>
  </sheetViews>
  <sheetFormatPr defaultRowHeight="16.5"/>
  <cols>
    <col min="1" max="1" width="2" style="2" customWidth="1"/>
    <col min="2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10.85546875" style="15" hidden="1" customWidth="1"/>
    <col min="8" max="8" width="4.140625" style="15" hidden="1" customWidth="1"/>
    <col min="9" max="9" width="2.5703125" style="15" hidden="1" customWidth="1"/>
    <col min="10" max="10" width="4.140625" style="15" hidden="1" customWidth="1"/>
    <col min="11" max="11" width="4.85546875" style="15" hidden="1" customWidth="1"/>
    <col min="12" max="23" width="10.42578125" style="2" bestFit="1" customWidth="1"/>
    <col min="24" max="256" width="9.140625" style="2"/>
    <col min="257" max="257" width="2" style="2" customWidth="1"/>
    <col min="258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7" width="0" style="2" hidden="1" customWidth="1"/>
    <col min="268" max="279" width="9.85546875" style="2" bestFit="1" customWidth="1"/>
    <col min="280" max="512" width="9.140625" style="2"/>
    <col min="513" max="513" width="2" style="2" customWidth="1"/>
    <col min="514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23" width="0" style="2" hidden="1" customWidth="1"/>
    <col min="524" max="535" width="9.85546875" style="2" bestFit="1" customWidth="1"/>
    <col min="536" max="768" width="9.140625" style="2"/>
    <col min="769" max="769" width="2" style="2" customWidth="1"/>
    <col min="770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9" width="0" style="2" hidden="1" customWidth="1"/>
    <col min="780" max="791" width="9.85546875" style="2" bestFit="1" customWidth="1"/>
    <col min="792" max="1024" width="9.140625" style="2"/>
    <col min="1025" max="1025" width="2" style="2" customWidth="1"/>
    <col min="1026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5" width="0" style="2" hidden="1" customWidth="1"/>
    <col min="1036" max="1047" width="9.85546875" style="2" bestFit="1" customWidth="1"/>
    <col min="1048" max="1280" width="9.140625" style="2"/>
    <col min="1281" max="1281" width="2" style="2" customWidth="1"/>
    <col min="1282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91" width="0" style="2" hidden="1" customWidth="1"/>
    <col min="1292" max="1303" width="9.85546875" style="2" bestFit="1" customWidth="1"/>
    <col min="1304" max="1536" width="9.140625" style="2"/>
    <col min="1537" max="1537" width="2" style="2" customWidth="1"/>
    <col min="1538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7" width="0" style="2" hidden="1" customWidth="1"/>
    <col min="1548" max="1559" width="9.85546875" style="2" bestFit="1" customWidth="1"/>
    <col min="1560" max="1792" width="9.140625" style="2"/>
    <col min="1793" max="1793" width="2" style="2" customWidth="1"/>
    <col min="1794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803" width="0" style="2" hidden="1" customWidth="1"/>
    <col min="1804" max="1815" width="9.85546875" style="2" bestFit="1" customWidth="1"/>
    <col min="1816" max="2048" width="9.140625" style="2"/>
    <col min="2049" max="2049" width="2" style="2" customWidth="1"/>
    <col min="2050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9" width="0" style="2" hidden="1" customWidth="1"/>
    <col min="2060" max="2071" width="9.85546875" style="2" bestFit="1" customWidth="1"/>
    <col min="2072" max="2304" width="9.140625" style="2"/>
    <col min="2305" max="2305" width="2" style="2" customWidth="1"/>
    <col min="2306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5" width="0" style="2" hidden="1" customWidth="1"/>
    <col min="2316" max="2327" width="9.85546875" style="2" bestFit="1" customWidth="1"/>
    <col min="2328" max="2560" width="9.140625" style="2"/>
    <col min="2561" max="2561" width="2" style="2" customWidth="1"/>
    <col min="2562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71" width="0" style="2" hidden="1" customWidth="1"/>
    <col min="2572" max="2583" width="9.85546875" style="2" bestFit="1" customWidth="1"/>
    <col min="2584" max="2816" width="9.140625" style="2"/>
    <col min="2817" max="2817" width="2" style="2" customWidth="1"/>
    <col min="2818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7" width="0" style="2" hidden="1" customWidth="1"/>
    <col min="2828" max="2839" width="9.85546875" style="2" bestFit="1" customWidth="1"/>
    <col min="2840" max="3072" width="9.140625" style="2"/>
    <col min="3073" max="3073" width="2" style="2" customWidth="1"/>
    <col min="3074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83" width="0" style="2" hidden="1" customWidth="1"/>
    <col min="3084" max="3095" width="9.85546875" style="2" bestFit="1" customWidth="1"/>
    <col min="3096" max="3328" width="9.140625" style="2"/>
    <col min="3329" max="3329" width="2" style="2" customWidth="1"/>
    <col min="3330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9" width="0" style="2" hidden="1" customWidth="1"/>
    <col min="3340" max="3351" width="9.85546875" style="2" bestFit="1" customWidth="1"/>
    <col min="3352" max="3584" width="9.140625" style="2"/>
    <col min="3585" max="3585" width="2" style="2" customWidth="1"/>
    <col min="3586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5" width="0" style="2" hidden="1" customWidth="1"/>
    <col min="3596" max="3607" width="9.85546875" style="2" bestFit="1" customWidth="1"/>
    <col min="3608" max="3840" width="9.140625" style="2"/>
    <col min="3841" max="3841" width="2" style="2" customWidth="1"/>
    <col min="3842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51" width="0" style="2" hidden="1" customWidth="1"/>
    <col min="3852" max="3863" width="9.85546875" style="2" bestFit="1" customWidth="1"/>
    <col min="3864" max="4096" width="9.140625" style="2"/>
    <col min="4097" max="4097" width="2" style="2" customWidth="1"/>
    <col min="4098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7" width="0" style="2" hidden="1" customWidth="1"/>
    <col min="4108" max="4119" width="9.85546875" style="2" bestFit="1" customWidth="1"/>
    <col min="4120" max="4352" width="9.140625" style="2"/>
    <col min="4353" max="4353" width="2" style="2" customWidth="1"/>
    <col min="4354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63" width="0" style="2" hidden="1" customWidth="1"/>
    <col min="4364" max="4375" width="9.85546875" style="2" bestFit="1" customWidth="1"/>
    <col min="4376" max="4608" width="9.140625" style="2"/>
    <col min="4609" max="4609" width="2" style="2" customWidth="1"/>
    <col min="4610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9" width="0" style="2" hidden="1" customWidth="1"/>
    <col min="4620" max="4631" width="9.85546875" style="2" bestFit="1" customWidth="1"/>
    <col min="4632" max="4864" width="9.140625" style="2"/>
    <col min="4865" max="4865" width="2" style="2" customWidth="1"/>
    <col min="4866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5" width="0" style="2" hidden="1" customWidth="1"/>
    <col min="4876" max="4887" width="9.85546875" style="2" bestFit="1" customWidth="1"/>
    <col min="4888" max="5120" width="9.140625" style="2"/>
    <col min="5121" max="5121" width="2" style="2" customWidth="1"/>
    <col min="5122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31" width="0" style="2" hidden="1" customWidth="1"/>
    <col min="5132" max="5143" width="9.85546875" style="2" bestFit="1" customWidth="1"/>
    <col min="5144" max="5376" width="9.140625" style="2"/>
    <col min="5377" max="5377" width="2" style="2" customWidth="1"/>
    <col min="5378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7" width="0" style="2" hidden="1" customWidth="1"/>
    <col min="5388" max="5399" width="9.85546875" style="2" bestFit="1" customWidth="1"/>
    <col min="5400" max="5632" width="9.140625" style="2"/>
    <col min="5633" max="5633" width="2" style="2" customWidth="1"/>
    <col min="5634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43" width="0" style="2" hidden="1" customWidth="1"/>
    <col min="5644" max="5655" width="9.85546875" style="2" bestFit="1" customWidth="1"/>
    <col min="5656" max="5888" width="9.140625" style="2"/>
    <col min="5889" max="5889" width="2" style="2" customWidth="1"/>
    <col min="5890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9" width="0" style="2" hidden="1" customWidth="1"/>
    <col min="5900" max="5911" width="9.85546875" style="2" bestFit="1" customWidth="1"/>
    <col min="5912" max="6144" width="9.140625" style="2"/>
    <col min="6145" max="6145" width="2" style="2" customWidth="1"/>
    <col min="6146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5" width="0" style="2" hidden="1" customWidth="1"/>
    <col min="6156" max="6167" width="9.85546875" style="2" bestFit="1" customWidth="1"/>
    <col min="6168" max="6400" width="9.140625" style="2"/>
    <col min="6401" max="6401" width="2" style="2" customWidth="1"/>
    <col min="6402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11" width="0" style="2" hidden="1" customWidth="1"/>
    <col min="6412" max="6423" width="9.85546875" style="2" bestFit="1" customWidth="1"/>
    <col min="6424" max="6656" width="9.140625" style="2"/>
    <col min="6657" max="6657" width="2" style="2" customWidth="1"/>
    <col min="6658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7" width="0" style="2" hidden="1" customWidth="1"/>
    <col min="6668" max="6679" width="9.85546875" style="2" bestFit="1" customWidth="1"/>
    <col min="6680" max="6912" width="9.140625" style="2"/>
    <col min="6913" max="6913" width="2" style="2" customWidth="1"/>
    <col min="6914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23" width="0" style="2" hidden="1" customWidth="1"/>
    <col min="6924" max="6935" width="9.85546875" style="2" bestFit="1" customWidth="1"/>
    <col min="6936" max="7168" width="9.140625" style="2"/>
    <col min="7169" max="7169" width="2" style="2" customWidth="1"/>
    <col min="7170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9" width="0" style="2" hidden="1" customWidth="1"/>
    <col min="7180" max="7191" width="9.85546875" style="2" bestFit="1" customWidth="1"/>
    <col min="7192" max="7424" width="9.140625" style="2"/>
    <col min="7425" max="7425" width="2" style="2" customWidth="1"/>
    <col min="7426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5" width="0" style="2" hidden="1" customWidth="1"/>
    <col min="7436" max="7447" width="9.85546875" style="2" bestFit="1" customWidth="1"/>
    <col min="7448" max="7680" width="9.140625" style="2"/>
    <col min="7681" max="7681" width="2" style="2" customWidth="1"/>
    <col min="7682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91" width="0" style="2" hidden="1" customWidth="1"/>
    <col min="7692" max="7703" width="9.85546875" style="2" bestFit="1" customWidth="1"/>
    <col min="7704" max="7936" width="9.140625" style="2"/>
    <col min="7937" max="7937" width="2" style="2" customWidth="1"/>
    <col min="7938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7" width="0" style="2" hidden="1" customWidth="1"/>
    <col min="7948" max="7959" width="9.85546875" style="2" bestFit="1" customWidth="1"/>
    <col min="7960" max="8192" width="9.140625" style="2"/>
    <col min="8193" max="8193" width="2" style="2" customWidth="1"/>
    <col min="8194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203" width="0" style="2" hidden="1" customWidth="1"/>
    <col min="8204" max="8215" width="9.85546875" style="2" bestFit="1" customWidth="1"/>
    <col min="8216" max="8448" width="9.140625" style="2"/>
    <col min="8449" max="8449" width="2" style="2" customWidth="1"/>
    <col min="8450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9" width="0" style="2" hidden="1" customWidth="1"/>
    <col min="8460" max="8471" width="9.85546875" style="2" bestFit="1" customWidth="1"/>
    <col min="8472" max="8704" width="9.140625" style="2"/>
    <col min="8705" max="8705" width="2" style="2" customWidth="1"/>
    <col min="8706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5" width="0" style="2" hidden="1" customWidth="1"/>
    <col min="8716" max="8727" width="9.85546875" style="2" bestFit="1" customWidth="1"/>
    <col min="8728" max="8960" width="9.140625" style="2"/>
    <col min="8961" max="8961" width="2" style="2" customWidth="1"/>
    <col min="8962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71" width="0" style="2" hidden="1" customWidth="1"/>
    <col min="8972" max="8983" width="9.85546875" style="2" bestFit="1" customWidth="1"/>
    <col min="8984" max="9216" width="9.140625" style="2"/>
    <col min="9217" max="9217" width="2" style="2" customWidth="1"/>
    <col min="9218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7" width="0" style="2" hidden="1" customWidth="1"/>
    <col min="9228" max="9239" width="9.85546875" style="2" bestFit="1" customWidth="1"/>
    <col min="9240" max="9472" width="9.140625" style="2"/>
    <col min="9473" max="9473" width="2" style="2" customWidth="1"/>
    <col min="9474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83" width="0" style="2" hidden="1" customWidth="1"/>
    <col min="9484" max="9495" width="9.85546875" style="2" bestFit="1" customWidth="1"/>
    <col min="9496" max="9728" width="9.140625" style="2"/>
    <col min="9729" max="9729" width="2" style="2" customWidth="1"/>
    <col min="9730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9" width="0" style="2" hidden="1" customWidth="1"/>
    <col min="9740" max="9751" width="9.85546875" style="2" bestFit="1" customWidth="1"/>
    <col min="9752" max="9984" width="9.140625" style="2"/>
    <col min="9985" max="9985" width="2" style="2" customWidth="1"/>
    <col min="9986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5" width="0" style="2" hidden="1" customWidth="1"/>
    <col min="9996" max="10007" width="9.85546875" style="2" bestFit="1" customWidth="1"/>
    <col min="10008" max="10240" width="9.140625" style="2"/>
    <col min="10241" max="10241" width="2" style="2" customWidth="1"/>
    <col min="10242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51" width="0" style="2" hidden="1" customWidth="1"/>
    <col min="10252" max="10263" width="9.85546875" style="2" bestFit="1" customWidth="1"/>
    <col min="10264" max="10496" width="9.140625" style="2"/>
    <col min="10497" max="10497" width="2" style="2" customWidth="1"/>
    <col min="10498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7" width="0" style="2" hidden="1" customWidth="1"/>
    <col min="10508" max="10519" width="9.85546875" style="2" bestFit="1" customWidth="1"/>
    <col min="10520" max="10752" width="9.140625" style="2"/>
    <col min="10753" max="10753" width="2" style="2" customWidth="1"/>
    <col min="10754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63" width="0" style="2" hidden="1" customWidth="1"/>
    <col min="10764" max="10775" width="9.85546875" style="2" bestFit="1" customWidth="1"/>
    <col min="10776" max="11008" width="9.140625" style="2"/>
    <col min="11009" max="11009" width="2" style="2" customWidth="1"/>
    <col min="11010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9" width="0" style="2" hidden="1" customWidth="1"/>
    <col min="11020" max="11031" width="9.85546875" style="2" bestFit="1" customWidth="1"/>
    <col min="11032" max="11264" width="9.140625" style="2"/>
    <col min="11265" max="11265" width="2" style="2" customWidth="1"/>
    <col min="11266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5" width="0" style="2" hidden="1" customWidth="1"/>
    <col min="11276" max="11287" width="9.85546875" style="2" bestFit="1" customWidth="1"/>
    <col min="11288" max="11520" width="9.140625" style="2"/>
    <col min="11521" max="11521" width="2" style="2" customWidth="1"/>
    <col min="11522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31" width="0" style="2" hidden="1" customWidth="1"/>
    <col min="11532" max="11543" width="9.85546875" style="2" bestFit="1" customWidth="1"/>
    <col min="11544" max="11776" width="9.140625" style="2"/>
    <col min="11777" max="11777" width="2" style="2" customWidth="1"/>
    <col min="11778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7" width="0" style="2" hidden="1" customWidth="1"/>
    <col min="11788" max="11799" width="9.85546875" style="2" bestFit="1" customWidth="1"/>
    <col min="11800" max="12032" width="9.140625" style="2"/>
    <col min="12033" max="12033" width="2" style="2" customWidth="1"/>
    <col min="12034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43" width="0" style="2" hidden="1" customWidth="1"/>
    <col min="12044" max="12055" width="9.85546875" style="2" bestFit="1" customWidth="1"/>
    <col min="12056" max="12288" width="9.140625" style="2"/>
    <col min="12289" max="12289" width="2" style="2" customWidth="1"/>
    <col min="12290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9" width="0" style="2" hidden="1" customWidth="1"/>
    <col min="12300" max="12311" width="9.85546875" style="2" bestFit="1" customWidth="1"/>
    <col min="12312" max="12544" width="9.140625" style="2"/>
    <col min="12545" max="12545" width="2" style="2" customWidth="1"/>
    <col min="12546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5" width="0" style="2" hidden="1" customWidth="1"/>
    <col min="12556" max="12567" width="9.85546875" style="2" bestFit="1" customWidth="1"/>
    <col min="12568" max="12800" width="9.140625" style="2"/>
    <col min="12801" max="12801" width="2" style="2" customWidth="1"/>
    <col min="12802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11" width="0" style="2" hidden="1" customWidth="1"/>
    <col min="12812" max="12823" width="9.85546875" style="2" bestFit="1" customWidth="1"/>
    <col min="12824" max="13056" width="9.140625" style="2"/>
    <col min="13057" max="13057" width="2" style="2" customWidth="1"/>
    <col min="13058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7" width="0" style="2" hidden="1" customWidth="1"/>
    <col min="13068" max="13079" width="9.85546875" style="2" bestFit="1" customWidth="1"/>
    <col min="13080" max="13312" width="9.140625" style="2"/>
    <col min="13313" max="13313" width="2" style="2" customWidth="1"/>
    <col min="13314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23" width="0" style="2" hidden="1" customWidth="1"/>
    <col min="13324" max="13335" width="9.85546875" style="2" bestFit="1" customWidth="1"/>
    <col min="13336" max="13568" width="9.140625" style="2"/>
    <col min="13569" max="13569" width="2" style="2" customWidth="1"/>
    <col min="13570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9" width="0" style="2" hidden="1" customWidth="1"/>
    <col min="13580" max="13591" width="9.85546875" style="2" bestFit="1" customWidth="1"/>
    <col min="13592" max="13824" width="9.140625" style="2"/>
    <col min="13825" max="13825" width="2" style="2" customWidth="1"/>
    <col min="13826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5" width="0" style="2" hidden="1" customWidth="1"/>
    <col min="13836" max="13847" width="9.85546875" style="2" bestFit="1" customWidth="1"/>
    <col min="13848" max="14080" width="9.140625" style="2"/>
    <col min="14081" max="14081" width="2" style="2" customWidth="1"/>
    <col min="14082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91" width="0" style="2" hidden="1" customWidth="1"/>
    <col min="14092" max="14103" width="9.85546875" style="2" bestFit="1" customWidth="1"/>
    <col min="14104" max="14336" width="9.140625" style="2"/>
    <col min="14337" max="14337" width="2" style="2" customWidth="1"/>
    <col min="14338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7" width="0" style="2" hidden="1" customWidth="1"/>
    <col min="14348" max="14359" width="9.85546875" style="2" bestFit="1" customWidth="1"/>
    <col min="14360" max="14592" width="9.140625" style="2"/>
    <col min="14593" max="14593" width="2" style="2" customWidth="1"/>
    <col min="14594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603" width="0" style="2" hidden="1" customWidth="1"/>
    <col min="14604" max="14615" width="9.85546875" style="2" bestFit="1" customWidth="1"/>
    <col min="14616" max="14848" width="9.140625" style="2"/>
    <col min="14849" max="14849" width="2" style="2" customWidth="1"/>
    <col min="14850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9" width="0" style="2" hidden="1" customWidth="1"/>
    <col min="14860" max="14871" width="9.85546875" style="2" bestFit="1" customWidth="1"/>
    <col min="14872" max="15104" width="9.140625" style="2"/>
    <col min="15105" max="15105" width="2" style="2" customWidth="1"/>
    <col min="15106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5" width="0" style="2" hidden="1" customWidth="1"/>
    <col min="15116" max="15127" width="9.85546875" style="2" bestFit="1" customWidth="1"/>
    <col min="15128" max="15360" width="9.140625" style="2"/>
    <col min="15361" max="15361" width="2" style="2" customWidth="1"/>
    <col min="15362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71" width="0" style="2" hidden="1" customWidth="1"/>
    <col min="15372" max="15383" width="9.85546875" style="2" bestFit="1" customWidth="1"/>
    <col min="15384" max="15616" width="9.140625" style="2"/>
    <col min="15617" max="15617" width="2" style="2" customWidth="1"/>
    <col min="15618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7" width="0" style="2" hidden="1" customWidth="1"/>
    <col min="15628" max="15639" width="9.85546875" style="2" bestFit="1" customWidth="1"/>
    <col min="15640" max="15872" width="9.140625" style="2"/>
    <col min="15873" max="15873" width="2" style="2" customWidth="1"/>
    <col min="15874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83" width="0" style="2" hidden="1" customWidth="1"/>
    <col min="15884" max="15895" width="9.85546875" style="2" bestFit="1" customWidth="1"/>
    <col min="15896" max="16128" width="9.140625" style="2"/>
    <col min="16129" max="16129" width="2" style="2" customWidth="1"/>
    <col min="16130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9" width="0" style="2" hidden="1" customWidth="1"/>
    <col min="16140" max="16151" width="9.85546875" style="2" bestFit="1" customWidth="1"/>
    <col min="16152" max="16384" width="9.140625" style="2"/>
  </cols>
  <sheetData>
    <row r="1" spans="1:23">
      <c r="A1" s="1" t="s">
        <v>25</v>
      </c>
    </row>
    <row r="2" spans="1:23">
      <c r="A2" s="1" t="s">
        <v>71</v>
      </c>
      <c r="F2" s="1" t="s">
        <v>35</v>
      </c>
    </row>
    <row r="3" spans="1:23">
      <c r="A3" s="2" t="s">
        <v>0</v>
      </c>
      <c r="L3" s="2" t="s">
        <v>35</v>
      </c>
    </row>
    <row r="4" spans="1:23" ht="12" customHeight="1"/>
    <row r="5" spans="1:23" ht="18" customHeight="1">
      <c r="A5" s="177" t="s">
        <v>1</v>
      </c>
      <c r="B5" s="178"/>
      <c r="C5" s="178"/>
      <c r="D5" s="178"/>
      <c r="E5" s="178"/>
      <c r="F5" s="178"/>
      <c r="G5" s="76" t="s">
        <v>28</v>
      </c>
      <c r="H5" s="76" t="s">
        <v>29</v>
      </c>
      <c r="I5" s="76" t="s">
        <v>39</v>
      </c>
      <c r="J5" s="76" t="s">
        <v>31</v>
      </c>
      <c r="K5" s="76" t="s">
        <v>32</v>
      </c>
      <c r="L5" s="77" t="s">
        <v>5</v>
      </c>
      <c r="M5" s="77" t="s">
        <v>23</v>
      </c>
      <c r="N5" s="77" t="s">
        <v>24</v>
      </c>
      <c r="O5" s="77" t="s">
        <v>26</v>
      </c>
      <c r="P5" s="77" t="s">
        <v>27</v>
      </c>
      <c r="Q5" s="77" t="s">
        <v>36</v>
      </c>
      <c r="R5" s="77" t="s">
        <v>28</v>
      </c>
      <c r="S5" s="77" t="s">
        <v>29</v>
      </c>
      <c r="T5" s="77" t="s">
        <v>39</v>
      </c>
      <c r="U5" s="77" t="s">
        <v>31</v>
      </c>
      <c r="V5" s="77" t="s">
        <v>32</v>
      </c>
      <c r="W5" s="78" t="s">
        <v>33</v>
      </c>
    </row>
    <row r="6" spans="1:23" ht="9" customHeight="1"/>
    <row r="7" spans="1:23">
      <c r="A7" s="1" t="s">
        <v>17</v>
      </c>
      <c r="E7" s="1"/>
      <c r="G7" s="41" t="e">
        <f t="shared" ref="G7:R7" si="0">+G9+G21</f>
        <v>#REF!</v>
      </c>
      <c r="H7" s="41" t="e">
        <f t="shared" si="0"/>
        <v>#REF!</v>
      </c>
      <c r="I7" s="41" t="e">
        <f t="shared" si="0"/>
        <v>#REF!</v>
      </c>
      <c r="J7" s="41" t="e">
        <f t="shared" si="0"/>
        <v>#REF!</v>
      </c>
      <c r="K7" s="41" t="e">
        <f t="shared" si="0"/>
        <v>#REF!</v>
      </c>
      <c r="L7" s="41">
        <f t="shared" si="0"/>
        <v>3964773.2579999999</v>
      </c>
      <c r="M7" s="41">
        <f t="shared" si="0"/>
        <v>3964388</v>
      </c>
      <c r="N7" s="41">
        <f t="shared" si="0"/>
        <v>3962496</v>
      </c>
      <c r="O7" s="41">
        <f t="shared" si="0"/>
        <v>3995963</v>
      </c>
      <c r="P7" s="41">
        <f t="shared" si="0"/>
        <v>4017156</v>
      </c>
      <c r="Q7" s="41">
        <f t="shared" si="0"/>
        <v>3998506</v>
      </c>
      <c r="R7" s="41">
        <f t="shared" si="0"/>
        <v>3923693</v>
      </c>
      <c r="S7" s="41">
        <f>+S9+S21</f>
        <v>3954279</v>
      </c>
      <c r="T7" s="41">
        <f>+T9+T21</f>
        <v>3928312</v>
      </c>
      <c r="U7" s="41">
        <f>+U9+U21</f>
        <v>3914275</v>
      </c>
      <c r="V7" s="41">
        <f>+V9+V21</f>
        <v>3907735</v>
      </c>
      <c r="W7" s="41">
        <f>+W9+W21</f>
        <v>3851506</v>
      </c>
    </row>
    <row r="8" spans="1:23" ht="6" customHeight="1"/>
    <row r="9" spans="1:23">
      <c r="A9" s="1" t="s">
        <v>59</v>
      </c>
      <c r="B9" s="1"/>
      <c r="C9" s="1"/>
      <c r="D9" s="1"/>
      <c r="E9" s="1"/>
      <c r="F9" s="1"/>
      <c r="G9" s="13" t="e">
        <f>+#REF!+#REF!</f>
        <v>#REF!</v>
      </c>
      <c r="H9" s="13" t="e">
        <f>+#REF!+#REF!</f>
        <v>#REF!</v>
      </c>
      <c r="I9" s="13" t="e">
        <f>+#REF!+#REF!</f>
        <v>#REF!</v>
      </c>
      <c r="J9" s="13" t="e">
        <f>+#REF!+#REF!</f>
        <v>#REF!</v>
      </c>
      <c r="K9" s="13" t="e">
        <f>+#REF!+#REF!</f>
        <v>#REF!</v>
      </c>
      <c r="L9" s="13">
        <f t="shared" ref="L9:W9" si="1">+L10+L15</f>
        <v>2156662</v>
      </c>
      <c r="M9" s="13">
        <f t="shared" si="1"/>
        <v>2167916</v>
      </c>
      <c r="N9" s="13">
        <f t="shared" si="1"/>
        <v>2190363</v>
      </c>
      <c r="O9" s="13">
        <f t="shared" si="1"/>
        <v>2190323</v>
      </c>
      <c r="P9" s="13">
        <f t="shared" si="1"/>
        <v>2172118</v>
      </c>
      <c r="Q9" s="13">
        <f t="shared" si="1"/>
        <v>2161367</v>
      </c>
      <c r="R9" s="13">
        <f t="shared" si="1"/>
        <v>2151203</v>
      </c>
      <c r="S9" s="13">
        <f t="shared" si="1"/>
        <v>2175195</v>
      </c>
      <c r="T9" s="13">
        <f t="shared" si="1"/>
        <v>2164366</v>
      </c>
      <c r="U9" s="13">
        <f t="shared" si="1"/>
        <v>2169958</v>
      </c>
      <c r="V9" s="13">
        <f t="shared" si="1"/>
        <v>2166271</v>
      </c>
      <c r="W9" s="13">
        <f t="shared" si="1"/>
        <v>2154078</v>
      </c>
    </row>
    <row r="10" spans="1:23">
      <c r="C10" s="2" t="s">
        <v>9</v>
      </c>
      <c r="G10" s="14" t="e">
        <f t="shared" ref="G10:R10" si="2">+G11+G12+G13</f>
        <v>#REF!</v>
      </c>
      <c r="H10" s="14" t="e">
        <f t="shared" si="2"/>
        <v>#REF!</v>
      </c>
      <c r="I10" s="14" t="e">
        <f t="shared" si="2"/>
        <v>#REF!</v>
      </c>
      <c r="J10" s="14" t="e">
        <f t="shared" si="2"/>
        <v>#REF!</v>
      </c>
      <c r="K10" s="14" t="e">
        <f t="shared" si="2"/>
        <v>#REF!</v>
      </c>
      <c r="L10" s="14">
        <f t="shared" si="2"/>
        <v>2154368</v>
      </c>
      <c r="M10" s="14">
        <f t="shared" si="2"/>
        <v>2165622</v>
      </c>
      <c r="N10" s="14">
        <f t="shared" si="2"/>
        <v>2188069</v>
      </c>
      <c r="O10" s="14">
        <f t="shared" si="2"/>
        <v>2188029</v>
      </c>
      <c r="P10" s="14">
        <f t="shared" si="2"/>
        <v>2169824</v>
      </c>
      <c r="Q10" s="14">
        <f t="shared" si="2"/>
        <v>2159066</v>
      </c>
      <c r="R10" s="14">
        <f t="shared" si="2"/>
        <v>2148909</v>
      </c>
      <c r="S10" s="14">
        <f>+S11+S12+S13</f>
        <v>2172901</v>
      </c>
      <c r="T10" s="14">
        <f>+T11+T12+T13</f>
        <v>2162072</v>
      </c>
      <c r="U10" s="14">
        <f>+U11+U12+U13</f>
        <v>2167664</v>
      </c>
      <c r="V10" s="14">
        <f>+V11+V12+V13</f>
        <v>2163977</v>
      </c>
      <c r="W10" s="14">
        <f>+W11+W12+W13</f>
        <v>2151784</v>
      </c>
    </row>
    <row r="11" spans="1:23">
      <c r="D11" s="2" t="s">
        <v>88</v>
      </c>
      <c r="G11" s="14" t="e">
        <f>+#REF!+#REF!</f>
        <v>#REF!</v>
      </c>
      <c r="H11" s="14" t="e">
        <f>+#REF!+#REF!</f>
        <v>#REF!</v>
      </c>
      <c r="I11" s="14" t="e">
        <f>+#REF!+#REF!</f>
        <v>#REF!</v>
      </c>
      <c r="J11" s="14" t="e">
        <f>+#REF!+#REF!</f>
        <v>#REF!</v>
      </c>
      <c r="K11" s="14" t="e">
        <f>+#REF!+#REF!</f>
        <v>#REF!</v>
      </c>
      <c r="L11" s="15">
        <v>2126517</v>
      </c>
      <c r="M11" s="15">
        <v>2137772</v>
      </c>
      <c r="N11" s="15">
        <v>2160220</v>
      </c>
      <c r="O11" s="15">
        <v>2167569</v>
      </c>
      <c r="P11" s="15">
        <v>2149362</v>
      </c>
      <c r="Q11" s="15">
        <v>2138913</v>
      </c>
      <c r="R11" s="15">
        <v>2128760</v>
      </c>
      <c r="S11" s="15">
        <v>2152753</v>
      </c>
      <c r="T11" s="15">
        <v>2141926</v>
      </c>
      <c r="U11" s="15">
        <v>2147519</v>
      </c>
      <c r="V11" s="15">
        <v>2143832</v>
      </c>
      <c r="W11" s="15">
        <v>2131699</v>
      </c>
    </row>
    <row r="12" spans="1:23">
      <c r="D12" s="2" t="s">
        <v>2</v>
      </c>
      <c r="L12" s="15">
        <v>27851</v>
      </c>
      <c r="M12" s="15">
        <v>27850</v>
      </c>
      <c r="N12" s="15">
        <v>27849</v>
      </c>
      <c r="O12" s="15">
        <v>20460</v>
      </c>
      <c r="P12" s="15">
        <v>20462</v>
      </c>
      <c r="Q12" s="15">
        <v>20153</v>
      </c>
      <c r="R12" s="15">
        <v>20149</v>
      </c>
      <c r="S12" s="15">
        <v>20148</v>
      </c>
      <c r="T12" s="15">
        <v>20146</v>
      </c>
      <c r="U12" s="15">
        <v>20145</v>
      </c>
      <c r="V12" s="15">
        <v>20145</v>
      </c>
      <c r="W12" s="15">
        <v>20085</v>
      </c>
    </row>
    <row r="13" spans="1:23">
      <c r="D13" s="2" t="s">
        <v>3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ht="6.75" customHeight="1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C15" s="2" t="s">
        <v>60</v>
      </c>
      <c r="G15" s="14">
        <f t="shared" ref="G15:R15" si="3">+SUM(G16:G19)</f>
        <v>0</v>
      </c>
      <c r="H15" s="14">
        <f t="shared" si="3"/>
        <v>0</v>
      </c>
      <c r="I15" s="14">
        <f t="shared" si="3"/>
        <v>0</v>
      </c>
      <c r="J15" s="14">
        <f t="shared" si="3"/>
        <v>0</v>
      </c>
      <c r="K15" s="14">
        <f t="shared" si="3"/>
        <v>0</v>
      </c>
      <c r="L15" s="14">
        <f t="shared" si="3"/>
        <v>2294</v>
      </c>
      <c r="M15" s="14">
        <f t="shared" si="3"/>
        <v>2294</v>
      </c>
      <c r="N15" s="14">
        <f t="shared" si="3"/>
        <v>2294</v>
      </c>
      <c r="O15" s="14">
        <f t="shared" si="3"/>
        <v>2294</v>
      </c>
      <c r="P15" s="14">
        <f t="shared" si="3"/>
        <v>2294</v>
      </c>
      <c r="Q15" s="14">
        <f t="shared" si="3"/>
        <v>2301</v>
      </c>
      <c r="R15" s="14">
        <f t="shared" si="3"/>
        <v>2294</v>
      </c>
      <c r="S15" s="14">
        <f>+SUM(S16:S19)</f>
        <v>2294</v>
      </c>
      <c r="T15" s="14">
        <f>+SUM(T16:T19)</f>
        <v>2294</v>
      </c>
      <c r="U15" s="14">
        <f>+SUM(U16:U19)</f>
        <v>2294</v>
      </c>
      <c r="V15" s="14">
        <f>+SUM(V16:V19)</f>
        <v>2294</v>
      </c>
      <c r="W15" s="14">
        <f>+SUM(W16:W19)</f>
        <v>2294</v>
      </c>
    </row>
    <row r="16" spans="1:23" hidden="1">
      <c r="D16" s="2" t="s">
        <v>12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>
      <c r="D17" s="2" t="s">
        <v>13</v>
      </c>
      <c r="L17" s="15">
        <v>2288</v>
      </c>
      <c r="M17" s="15">
        <v>2288</v>
      </c>
      <c r="N17" s="15">
        <v>2288</v>
      </c>
      <c r="O17" s="15">
        <v>2288</v>
      </c>
      <c r="P17" s="15">
        <v>2288</v>
      </c>
      <c r="Q17" s="15">
        <v>2295</v>
      </c>
      <c r="R17" s="15">
        <v>2288</v>
      </c>
      <c r="S17" s="15">
        <v>2288</v>
      </c>
      <c r="T17" s="15">
        <v>2288</v>
      </c>
      <c r="U17" s="15">
        <v>2288</v>
      </c>
      <c r="V17" s="15">
        <v>2288</v>
      </c>
      <c r="W17" s="15">
        <v>2288</v>
      </c>
    </row>
    <row r="18" spans="1:23" hidden="1">
      <c r="D18" s="2" t="s">
        <v>14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>
      <c r="D19" s="2" t="s">
        <v>15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  <c r="R19" s="15">
        <v>6</v>
      </c>
      <c r="S19" s="15">
        <v>6</v>
      </c>
      <c r="T19" s="15">
        <v>6</v>
      </c>
      <c r="U19" s="15">
        <v>6</v>
      </c>
      <c r="V19" s="15">
        <v>6</v>
      </c>
      <c r="W19" s="15">
        <v>6</v>
      </c>
    </row>
    <row r="20" spans="1:23" ht="6" customHeight="1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" t="s">
        <v>125</v>
      </c>
      <c r="B21" s="1"/>
      <c r="C21" s="1"/>
      <c r="D21" s="1"/>
      <c r="E21" s="1"/>
      <c r="F21" s="1"/>
      <c r="G21" s="13" t="e">
        <f>+#REF!+#REF!</f>
        <v>#REF!</v>
      </c>
      <c r="H21" s="13" t="e">
        <f>+#REF!+#REF!</f>
        <v>#REF!</v>
      </c>
      <c r="I21" s="13" t="e">
        <f>+#REF!+#REF!</f>
        <v>#REF!</v>
      </c>
      <c r="J21" s="13" t="e">
        <f>+#REF!+#REF!</f>
        <v>#REF!</v>
      </c>
      <c r="K21" s="13" t="e">
        <f>+#REF!+#REF!</f>
        <v>#REF!</v>
      </c>
      <c r="L21" s="13">
        <f t="shared" ref="L21:W21" si="4">+L22+L26+L33</f>
        <v>1808111.2579999999</v>
      </c>
      <c r="M21" s="13">
        <f t="shared" si="4"/>
        <v>1796472</v>
      </c>
      <c r="N21" s="13">
        <f t="shared" si="4"/>
        <v>1772133</v>
      </c>
      <c r="O21" s="13">
        <f t="shared" si="4"/>
        <v>1805640</v>
      </c>
      <c r="P21" s="13">
        <f t="shared" si="4"/>
        <v>1845038</v>
      </c>
      <c r="Q21" s="13">
        <f t="shared" si="4"/>
        <v>1837139</v>
      </c>
      <c r="R21" s="13">
        <f t="shared" si="4"/>
        <v>1772490</v>
      </c>
      <c r="S21" s="13">
        <f t="shared" si="4"/>
        <v>1779084</v>
      </c>
      <c r="T21" s="13">
        <f t="shared" si="4"/>
        <v>1763946</v>
      </c>
      <c r="U21" s="13">
        <f t="shared" si="4"/>
        <v>1744317</v>
      </c>
      <c r="V21" s="13">
        <f t="shared" si="4"/>
        <v>1741464</v>
      </c>
      <c r="W21" s="13">
        <f t="shared" si="4"/>
        <v>1697428</v>
      </c>
    </row>
    <row r="22" spans="1:23">
      <c r="C22" s="2" t="s">
        <v>9</v>
      </c>
      <c r="G22" s="14">
        <f t="shared" ref="G22:R22" si="5">+G23+G24</f>
        <v>0</v>
      </c>
      <c r="H22" s="14">
        <f t="shared" si="5"/>
        <v>0</v>
      </c>
      <c r="I22" s="14">
        <f t="shared" si="5"/>
        <v>0</v>
      </c>
      <c r="J22" s="14">
        <f t="shared" si="5"/>
        <v>0</v>
      </c>
      <c r="K22" s="14">
        <f t="shared" si="5"/>
        <v>0</v>
      </c>
      <c r="L22" s="14">
        <f t="shared" si="5"/>
        <v>694413</v>
      </c>
      <c r="M22" s="14">
        <f t="shared" si="5"/>
        <v>690676</v>
      </c>
      <c r="N22" s="14">
        <f t="shared" si="5"/>
        <v>679778</v>
      </c>
      <c r="O22" s="14">
        <f t="shared" si="5"/>
        <v>698928</v>
      </c>
      <c r="P22" s="14">
        <f t="shared" si="5"/>
        <v>716823</v>
      </c>
      <c r="Q22" s="14">
        <f t="shared" si="5"/>
        <v>715056</v>
      </c>
      <c r="R22" s="14">
        <f t="shared" si="5"/>
        <v>691221</v>
      </c>
      <c r="S22" s="14">
        <f>+S23+S24</f>
        <v>673081</v>
      </c>
      <c r="T22" s="14">
        <f>+T23+T24</f>
        <v>662473</v>
      </c>
      <c r="U22" s="14">
        <f>+U23+U24</f>
        <v>654681</v>
      </c>
      <c r="V22" s="14">
        <f>+V23+V24</f>
        <v>661741</v>
      </c>
      <c r="W22" s="14">
        <f>+W23+W24</f>
        <v>674454</v>
      </c>
    </row>
    <row r="23" spans="1:23">
      <c r="D23" s="2" t="s">
        <v>2</v>
      </c>
      <c r="L23" s="15">
        <v>594238</v>
      </c>
      <c r="M23" s="15">
        <v>590422</v>
      </c>
      <c r="N23" s="15">
        <v>582242</v>
      </c>
      <c r="O23" s="15">
        <v>597634</v>
      </c>
      <c r="P23" s="15">
        <v>612706</v>
      </c>
      <c r="Q23" s="15">
        <v>612167</v>
      </c>
      <c r="R23" s="15">
        <v>591790</v>
      </c>
      <c r="S23" s="15">
        <v>576920</v>
      </c>
      <c r="T23" s="15">
        <v>568171</v>
      </c>
      <c r="U23" s="15">
        <v>561629</v>
      </c>
      <c r="V23" s="15">
        <v>568295</v>
      </c>
      <c r="W23" s="15">
        <v>584552</v>
      </c>
    </row>
    <row r="24" spans="1:23">
      <c r="D24" s="2" t="s">
        <v>3</v>
      </c>
      <c r="L24" s="15">
        <v>100175</v>
      </c>
      <c r="M24" s="15">
        <v>100254</v>
      </c>
      <c r="N24" s="15">
        <v>97536</v>
      </c>
      <c r="O24" s="15">
        <v>101294</v>
      </c>
      <c r="P24" s="15">
        <v>104117</v>
      </c>
      <c r="Q24" s="15">
        <v>102889</v>
      </c>
      <c r="R24" s="15">
        <v>99431</v>
      </c>
      <c r="S24" s="15">
        <v>96161</v>
      </c>
      <c r="T24" s="15">
        <v>94302</v>
      </c>
      <c r="U24" s="15">
        <v>93052</v>
      </c>
      <c r="V24" s="15">
        <v>93446</v>
      </c>
      <c r="W24" s="15">
        <v>89902</v>
      </c>
    </row>
    <row r="25" spans="1:23" ht="6" customHeight="1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C26" s="2" t="s">
        <v>60</v>
      </c>
      <c r="G26" s="14">
        <f>+SUM(G27:G31)</f>
        <v>0</v>
      </c>
      <c r="H26" s="14">
        <f>+SUM(H27:H31)</f>
        <v>0</v>
      </c>
      <c r="I26" s="14">
        <f>+SUM(I27:I31)</f>
        <v>0</v>
      </c>
      <c r="J26" s="14">
        <f>+SUM(J27:J31)</f>
        <v>0</v>
      </c>
      <c r="K26" s="14">
        <f>+SUM(K27:K31)</f>
        <v>0</v>
      </c>
      <c r="L26" s="14">
        <f t="shared" ref="L26:W26" si="6">SUM(L27:L31)</f>
        <v>2183</v>
      </c>
      <c r="M26" s="14">
        <f t="shared" si="6"/>
        <v>2173</v>
      </c>
      <c r="N26" s="14">
        <f t="shared" si="6"/>
        <v>2142</v>
      </c>
      <c r="O26" s="14">
        <f t="shared" si="6"/>
        <v>2168</v>
      </c>
      <c r="P26" s="14">
        <f t="shared" si="6"/>
        <v>2207</v>
      </c>
      <c r="Q26" s="14">
        <f t="shared" si="6"/>
        <v>2242</v>
      </c>
      <c r="R26" s="14">
        <f t="shared" si="6"/>
        <v>1141</v>
      </c>
      <c r="S26" s="14">
        <f t="shared" si="6"/>
        <v>1125</v>
      </c>
      <c r="T26" s="14">
        <f t="shared" si="6"/>
        <v>1112</v>
      </c>
      <c r="U26" s="14">
        <f t="shared" si="6"/>
        <v>1100</v>
      </c>
      <c r="V26" s="14">
        <f t="shared" si="6"/>
        <v>1078</v>
      </c>
      <c r="W26" s="14">
        <f t="shared" si="6"/>
        <v>1058</v>
      </c>
    </row>
    <row r="27" spans="1:23">
      <c r="D27" s="2" t="s">
        <v>61</v>
      </c>
      <c r="L27" s="15">
        <v>15</v>
      </c>
      <c r="M27" s="15">
        <v>15</v>
      </c>
      <c r="N27" s="15">
        <v>15</v>
      </c>
      <c r="O27" s="15">
        <v>15</v>
      </c>
      <c r="P27" s="15">
        <v>15</v>
      </c>
      <c r="Q27" s="15">
        <v>15</v>
      </c>
      <c r="R27" s="15">
        <v>7</v>
      </c>
      <c r="S27" s="15">
        <v>7</v>
      </c>
      <c r="T27" s="15">
        <v>7</v>
      </c>
      <c r="U27" s="15">
        <v>7</v>
      </c>
      <c r="V27" s="15">
        <v>7</v>
      </c>
      <c r="W27" s="15">
        <v>7</v>
      </c>
    </row>
    <row r="28" spans="1:23">
      <c r="D28" s="2" t="s">
        <v>62</v>
      </c>
      <c r="L28" s="15">
        <v>370</v>
      </c>
      <c r="M28" s="15">
        <v>369</v>
      </c>
      <c r="N28" s="15">
        <v>363</v>
      </c>
      <c r="O28" s="15">
        <v>370</v>
      </c>
      <c r="P28" s="15">
        <v>378</v>
      </c>
      <c r="Q28" s="15">
        <v>383</v>
      </c>
      <c r="R28" s="15">
        <v>196</v>
      </c>
      <c r="S28" s="15">
        <v>193</v>
      </c>
      <c r="T28" s="15">
        <v>190</v>
      </c>
      <c r="U28" s="15">
        <v>188</v>
      </c>
      <c r="V28" s="15">
        <v>188</v>
      </c>
      <c r="W28" s="15">
        <v>185</v>
      </c>
    </row>
    <row r="29" spans="1:23">
      <c r="D29" s="2" t="s">
        <v>63</v>
      </c>
      <c r="L29" s="15">
        <v>1680</v>
      </c>
      <c r="M29" s="15">
        <v>1672</v>
      </c>
      <c r="N29" s="15">
        <v>1648</v>
      </c>
      <c r="O29" s="15">
        <v>1665</v>
      </c>
      <c r="P29" s="15">
        <v>1693</v>
      </c>
      <c r="Q29" s="15">
        <v>1722</v>
      </c>
      <c r="R29" s="15">
        <v>831</v>
      </c>
      <c r="S29" s="15">
        <v>819</v>
      </c>
      <c r="T29" s="15">
        <v>810</v>
      </c>
      <c r="U29" s="15">
        <v>801</v>
      </c>
      <c r="V29" s="15">
        <v>801</v>
      </c>
      <c r="W29" s="15">
        <v>789</v>
      </c>
    </row>
    <row r="30" spans="1:23">
      <c r="D30" s="2" t="s">
        <v>64</v>
      </c>
      <c r="L30" s="15">
        <v>105</v>
      </c>
      <c r="M30" s="15">
        <v>104</v>
      </c>
      <c r="N30" s="15">
        <v>103</v>
      </c>
      <c r="O30" s="15">
        <v>105</v>
      </c>
      <c r="P30" s="15">
        <v>108</v>
      </c>
      <c r="Q30" s="15">
        <v>109</v>
      </c>
      <c r="R30" s="15">
        <v>101</v>
      </c>
      <c r="S30" s="15">
        <v>100</v>
      </c>
      <c r="T30" s="15">
        <v>99</v>
      </c>
      <c r="U30" s="15">
        <v>98</v>
      </c>
      <c r="V30" s="15">
        <v>76</v>
      </c>
      <c r="W30" s="15">
        <v>71</v>
      </c>
    </row>
    <row r="31" spans="1:23">
      <c r="D31" s="2" t="s">
        <v>65</v>
      </c>
      <c r="L31" s="15">
        <v>13</v>
      </c>
      <c r="M31" s="15">
        <v>13</v>
      </c>
      <c r="N31" s="15">
        <v>13</v>
      </c>
      <c r="O31" s="15">
        <v>13</v>
      </c>
      <c r="P31" s="15">
        <v>13</v>
      </c>
      <c r="Q31" s="15">
        <v>13</v>
      </c>
      <c r="R31" s="15">
        <v>6</v>
      </c>
      <c r="S31" s="15">
        <v>6</v>
      </c>
      <c r="T31" s="15">
        <v>6</v>
      </c>
      <c r="U31" s="15">
        <v>6</v>
      </c>
      <c r="V31" s="15">
        <v>6</v>
      </c>
      <c r="W31" s="15">
        <v>6</v>
      </c>
    </row>
    <row r="32" spans="1:23" ht="8.25" customHeight="1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C33" s="2" t="s">
        <v>66</v>
      </c>
      <c r="L33" s="15">
        <v>1111515.2579999999</v>
      </c>
      <c r="M33" s="15">
        <v>1103623</v>
      </c>
      <c r="N33" s="15">
        <v>1090213</v>
      </c>
      <c r="O33" s="15">
        <v>1104544</v>
      </c>
      <c r="P33" s="15">
        <v>1126008</v>
      </c>
      <c r="Q33" s="15">
        <v>1119841</v>
      </c>
      <c r="R33" s="15">
        <v>1080128</v>
      </c>
      <c r="S33" s="15">
        <v>1104878</v>
      </c>
      <c r="T33" s="15">
        <v>1100361</v>
      </c>
      <c r="U33" s="15">
        <v>1088536</v>
      </c>
      <c r="V33" s="15">
        <v>1078645</v>
      </c>
      <c r="W33" s="15">
        <v>1021916</v>
      </c>
    </row>
    <row r="34" spans="1:23">
      <c r="A34" s="9"/>
      <c r="B34" s="9"/>
      <c r="C34" s="9"/>
      <c r="D34" s="9"/>
      <c r="E34" s="9"/>
      <c r="F34" s="9"/>
    </row>
    <row r="35" spans="1:23">
      <c r="A35" s="2" t="s">
        <v>67</v>
      </c>
    </row>
    <row r="36" spans="1:23">
      <c r="A36" s="1"/>
    </row>
    <row r="37" spans="1:23">
      <c r="A37" s="79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>
        <v>52.25</v>
      </c>
      <c r="M37" s="79">
        <v>52</v>
      </c>
      <c r="N37" s="79">
        <v>51.25</v>
      </c>
      <c r="O37" s="79">
        <v>51.75</v>
      </c>
      <c r="P37" s="79">
        <v>52.6</v>
      </c>
      <c r="Q37" s="79">
        <v>53.55</v>
      </c>
      <c r="R37" s="79">
        <v>51.6</v>
      </c>
      <c r="S37" s="79">
        <v>50.95</v>
      </c>
      <c r="T37" s="79">
        <v>50.35</v>
      </c>
      <c r="U37" s="79">
        <v>49.8</v>
      </c>
      <c r="V37" s="79">
        <v>49.75</v>
      </c>
      <c r="W37" s="79">
        <v>49.1</v>
      </c>
    </row>
    <row r="38" spans="1:2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</row>
    <row r="39" spans="1:23">
      <c r="A39" s="11" t="s">
        <v>22</v>
      </c>
      <c r="G39" s="2"/>
      <c r="H39" s="2"/>
      <c r="I39" s="2"/>
      <c r="J39" s="2"/>
      <c r="K39" s="2"/>
    </row>
    <row r="40" spans="1:23">
      <c r="A40" s="11" t="s">
        <v>68</v>
      </c>
      <c r="G40" s="2"/>
      <c r="H40" s="2"/>
      <c r="I40" s="2"/>
      <c r="J40" s="2"/>
      <c r="K40" s="2"/>
    </row>
    <row r="41" spans="1:23">
      <c r="A41" s="48" t="s">
        <v>131</v>
      </c>
      <c r="G41" s="2"/>
      <c r="H41" s="2"/>
      <c r="I41" s="2"/>
      <c r="J41" s="2"/>
      <c r="K41" s="2"/>
    </row>
    <row r="42" spans="1:2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</row>
    <row r="43" spans="1:23">
      <c r="A43" s="11"/>
      <c r="F43" s="11"/>
    </row>
    <row r="44" spans="1:23">
      <c r="F44" s="11"/>
    </row>
    <row r="45" spans="1:23">
      <c r="A45" s="11" t="s">
        <v>35</v>
      </c>
      <c r="F45" s="11"/>
    </row>
    <row r="46" spans="1:23">
      <c r="F46" s="11"/>
    </row>
    <row r="53" spans="12:12">
      <c r="L53" s="79"/>
    </row>
    <row r="54" spans="12:12">
      <c r="L54" s="11"/>
    </row>
    <row r="55" spans="12:12">
      <c r="L55" s="11"/>
    </row>
    <row r="56" spans="12:12">
      <c r="L56" s="11"/>
    </row>
    <row r="57" spans="12:12">
      <c r="L57" s="15"/>
    </row>
  </sheetData>
  <mergeCells count="1">
    <mergeCell ref="A5:F5"/>
  </mergeCells>
  <pageMargins left="0.55118110236220474" right="0" top="0.59055118110236227" bottom="0" header="0" footer="0"/>
  <pageSetup paperSize="9" scale="66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32FA-268F-4CD8-AEF2-374F6EA3D033}">
  <sheetPr>
    <pageSetUpPr fitToPage="1"/>
  </sheetPr>
  <dimension ref="A1:R51"/>
  <sheetViews>
    <sheetView workbookViewId="0">
      <selection activeCell="G9" sqref="G9"/>
    </sheetView>
  </sheetViews>
  <sheetFormatPr defaultRowHeight="12.75"/>
  <cols>
    <col min="1" max="1" width="2.85546875" style="98" customWidth="1"/>
    <col min="2" max="2" width="1.7109375" style="98" customWidth="1"/>
    <col min="3" max="3" width="2" style="98" customWidth="1"/>
    <col min="4" max="4" width="1.85546875" style="98" customWidth="1"/>
    <col min="5" max="5" width="1.7109375" style="98" customWidth="1"/>
    <col min="6" max="6" width="16.42578125" style="98" customWidth="1"/>
    <col min="7" max="7" width="9.42578125" style="98" customWidth="1"/>
    <col min="8" max="14" width="9.140625" style="98"/>
    <col min="15" max="15" width="9.28515625" style="98" customWidth="1"/>
    <col min="16" max="256" width="9.140625" style="98"/>
    <col min="257" max="257" width="2.85546875" style="98" customWidth="1"/>
    <col min="258" max="258" width="1.7109375" style="98" customWidth="1"/>
    <col min="259" max="259" width="2" style="98" customWidth="1"/>
    <col min="260" max="260" width="1.85546875" style="98" customWidth="1"/>
    <col min="261" max="261" width="1.7109375" style="98" customWidth="1"/>
    <col min="262" max="262" width="16.42578125" style="98" customWidth="1"/>
    <col min="263" max="263" width="9.42578125" style="98" customWidth="1"/>
    <col min="264" max="270" width="9.140625" style="98"/>
    <col min="271" max="271" width="9.28515625" style="98" customWidth="1"/>
    <col min="272" max="512" width="9.140625" style="98"/>
    <col min="513" max="513" width="2.85546875" style="98" customWidth="1"/>
    <col min="514" max="514" width="1.7109375" style="98" customWidth="1"/>
    <col min="515" max="515" width="2" style="98" customWidth="1"/>
    <col min="516" max="516" width="1.85546875" style="98" customWidth="1"/>
    <col min="517" max="517" width="1.7109375" style="98" customWidth="1"/>
    <col min="518" max="518" width="16.42578125" style="98" customWidth="1"/>
    <col min="519" max="519" width="9.42578125" style="98" customWidth="1"/>
    <col min="520" max="526" width="9.140625" style="98"/>
    <col min="527" max="527" width="9.28515625" style="98" customWidth="1"/>
    <col min="528" max="768" width="9.140625" style="98"/>
    <col min="769" max="769" width="2.85546875" style="98" customWidth="1"/>
    <col min="770" max="770" width="1.7109375" style="98" customWidth="1"/>
    <col min="771" max="771" width="2" style="98" customWidth="1"/>
    <col min="772" max="772" width="1.85546875" style="98" customWidth="1"/>
    <col min="773" max="773" width="1.7109375" style="98" customWidth="1"/>
    <col min="774" max="774" width="16.42578125" style="98" customWidth="1"/>
    <col min="775" max="775" width="9.42578125" style="98" customWidth="1"/>
    <col min="776" max="782" width="9.140625" style="98"/>
    <col min="783" max="783" width="9.28515625" style="98" customWidth="1"/>
    <col min="784" max="1024" width="9.140625" style="98"/>
    <col min="1025" max="1025" width="2.85546875" style="98" customWidth="1"/>
    <col min="1026" max="1026" width="1.7109375" style="98" customWidth="1"/>
    <col min="1027" max="1027" width="2" style="98" customWidth="1"/>
    <col min="1028" max="1028" width="1.85546875" style="98" customWidth="1"/>
    <col min="1029" max="1029" width="1.7109375" style="98" customWidth="1"/>
    <col min="1030" max="1030" width="16.42578125" style="98" customWidth="1"/>
    <col min="1031" max="1031" width="9.42578125" style="98" customWidth="1"/>
    <col min="1032" max="1038" width="9.140625" style="98"/>
    <col min="1039" max="1039" width="9.28515625" style="98" customWidth="1"/>
    <col min="1040" max="1280" width="9.140625" style="98"/>
    <col min="1281" max="1281" width="2.85546875" style="98" customWidth="1"/>
    <col min="1282" max="1282" width="1.7109375" style="98" customWidth="1"/>
    <col min="1283" max="1283" width="2" style="98" customWidth="1"/>
    <col min="1284" max="1284" width="1.85546875" style="98" customWidth="1"/>
    <col min="1285" max="1285" width="1.7109375" style="98" customWidth="1"/>
    <col min="1286" max="1286" width="16.42578125" style="98" customWidth="1"/>
    <col min="1287" max="1287" width="9.42578125" style="98" customWidth="1"/>
    <col min="1288" max="1294" width="9.140625" style="98"/>
    <col min="1295" max="1295" width="9.28515625" style="98" customWidth="1"/>
    <col min="1296" max="1536" width="9.140625" style="98"/>
    <col min="1537" max="1537" width="2.85546875" style="98" customWidth="1"/>
    <col min="1538" max="1538" width="1.7109375" style="98" customWidth="1"/>
    <col min="1539" max="1539" width="2" style="98" customWidth="1"/>
    <col min="1540" max="1540" width="1.85546875" style="98" customWidth="1"/>
    <col min="1541" max="1541" width="1.7109375" style="98" customWidth="1"/>
    <col min="1542" max="1542" width="16.42578125" style="98" customWidth="1"/>
    <col min="1543" max="1543" width="9.42578125" style="98" customWidth="1"/>
    <col min="1544" max="1550" width="9.140625" style="98"/>
    <col min="1551" max="1551" width="9.28515625" style="98" customWidth="1"/>
    <col min="1552" max="1792" width="9.140625" style="98"/>
    <col min="1793" max="1793" width="2.85546875" style="98" customWidth="1"/>
    <col min="1794" max="1794" width="1.7109375" style="98" customWidth="1"/>
    <col min="1795" max="1795" width="2" style="98" customWidth="1"/>
    <col min="1796" max="1796" width="1.85546875" style="98" customWidth="1"/>
    <col min="1797" max="1797" width="1.7109375" style="98" customWidth="1"/>
    <col min="1798" max="1798" width="16.42578125" style="98" customWidth="1"/>
    <col min="1799" max="1799" width="9.42578125" style="98" customWidth="1"/>
    <col min="1800" max="1806" width="9.140625" style="98"/>
    <col min="1807" max="1807" width="9.28515625" style="98" customWidth="1"/>
    <col min="1808" max="2048" width="9.140625" style="98"/>
    <col min="2049" max="2049" width="2.85546875" style="98" customWidth="1"/>
    <col min="2050" max="2050" width="1.7109375" style="98" customWidth="1"/>
    <col min="2051" max="2051" width="2" style="98" customWidth="1"/>
    <col min="2052" max="2052" width="1.85546875" style="98" customWidth="1"/>
    <col min="2053" max="2053" width="1.7109375" style="98" customWidth="1"/>
    <col min="2054" max="2054" width="16.42578125" style="98" customWidth="1"/>
    <col min="2055" max="2055" width="9.42578125" style="98" customWidth="1"/>
    <col min="2056" max="2062" width="9.140625" style="98"/>
    <col min="2063" max="2063" width="9.28515625" style="98" customWidth="1"/>
    <col min="2064" max="2304" width="9.140625" style="98"/>
    <col min="2305" max="2305" width="2.85546875" style="98" customWidth="1"/>
    <col min="2306" max="2306" width="1.7109375" style="98" customWidth="1"/>
    <col min="2307" max="2307" width="2" style="98" customWidth="1"/>
    <col min="2308" max="2308" width="1.85546875" style="98" customWidth="1"/>
    <col min="2309" max="2309" width="1.7109375" style="98" customWidth="1"/>
    <col min="2310" max="2310" width="16.42578125" style="98" customWidth="1"/>
    <col min="2311" max="2311" width="9.42578125" style="98" customWidth="1"/>
    <col min="2312" max="2318" width="9.140625" style="98"/>
    <col min="2319" max="2319" width="9.28515625" style="98" customWidth="1"/>
    <col min="2320" max="2560" width="9.140625" style="98"/>
    <col min="2561" max="2561" width="2.85546875" style="98" customWidth="1"/>
    <col min="2562" max="2562" width="1.7109375" style="98" customWidth="1"/>
    <col min="2563" max="2563" width="2" style="98" customWidth="1"/>
    <col min="2564" max="2564" width="1.85546875" style="98" customWidth="1"/>
    <col min="2565" max="2565" width="1.7109375" style="98" customWidth="1"/>
    <col min="2566" max="2566" width="16.42578125" style="98" customWidth="1"/>
    <col min="2567" max="2567" width="9.42578125" style="98" customWidth="1"/>
    <col min="2568" max="2574" width="9.140625" style="98"/>
    <col min="2575" max="2575" width="9.28515625" style="98" customWidth="1"/>
    <col min="2576" max="2816" width="9.140625" style="98"/>
    <col min="2817" max="2817" width="2.85546875" style="98" customWidth="1"/>
    <col min="2818" max="2818" width="1.7109375" style="98" customWidth="1"/>
    <col min="2819" max="2819" width="2" style="98" customWidth="1"/>
    <col min="2820" max="2820" width="1.85546875" style="98" customWidth="1"/>
    <col min="2821" max="2821" width="1.7109375" style="98" customWidth="1"/>
    <col min="2822" max="2822" width="16.42578125" style="98" customWidth="1"/>
    <col min="2823" max="2823" width="9.42578125" style="98" customWidth="1"/>
    <col min="2824" max="2830" width="9.140625" style="98"/>
    <col min="2831" max="2831" width="9.28515625" style="98" customWidth="1"/>
    <col min="2832" max="3072" width="9.140625" style="98"/>
    <col min="3073" max="3073" width="2.85546875" style="98" customWidth="1"/>
    <col min="3074" max="3074" width="1.7109375" style="98" customWidth="1"/>
    <col min="3075" max="3075" width="2" style="98" customWidth="1"/>
    <col min="3076" max="3076" width="1.85546875" style="98" customWidth="1"/>
    <col min="3077" max="3077" width="1.7109375" style="98" customWidth="1"/>
    <col min="3078" max="3078" width="16.42578125" style="98" customWidth="1"/>
    <col min="3079" max="3079" width="9.42578125" style="98" customWidth="1"/>
    <col min="3080" max="3086" width="9.140625" style="98"/>
    <col min="3087" max="3087" width="9.28515625" style="98" customWidth="1"/>
    <col min="3088" max="3328" width="9.140625" style="98"/>
    <col min="3329" max="3329" width="2.85546875" style="98" customWidth="1"/>
    <col min="3330" max="3330" width="1.7109375" style="98" customWidth="1"/>
    <col min="3331" max="3331" width="2" style="98" customWidth="1"/>
    <col min="3332" max="3332" width="1.85546875" style="98" customWidth="1"/>
    <col min="3333" max="3333" width="1.7109375" style="98" customWidth="1"/>
    <col min="3334" max="3334" width="16.42578125" style="98" customWidth="1"/>
    <col min="3335" max="3335" width="9.42578125" style="98" customWidth="1"/>
    <col min="3336" max="3342" width="9.140625" style="98"/>
    <col min="3343" max="3343" width="9.28515625" style="98" customWidth="1"/>
    <col min="3344" max="3584" width="9.140625" style="98"/>
    <col min="3585" max="3585" width="2.85546875" style="98" customWidth="1"/>
    <col min="3586" max="3586" width="1.7109375" style="98" customWidth="1"/>
    <col min="3587" max="3587" width="2" style="98" customWidth="1"/>
    <col min="3588" max="3588" width="1.85546875" style="98" customWidth="1"/>
    <col min="3589" max="3589" width="1.7109375" style="98" customWidth="1"/>
    <col min="3590" max="3590" width="16.42578125" style="98" customWidth="1"/>
    <col min="3591" max="3591" width="9.42578125" style="98" customWidth="1"/>
    <col min="3592" max="3598" width="9.140625" style="98"/>
    <col min="3599" max="3599" width="9.28515625" style="98" customWidth="1"/>
    <col min="3600" max="3840" width="9.140625" style="98"/>
    <col min="3841" max="3841" width="2.85546875" style="98" customWidth="1"/>
    <col min="3842" max="3842" width="1.7109375" style="98" customWidth="1"/>
    <col min="3843" max="3843" width="2" style="98" customWidth="1"/>
    <col min="3844" max="3844" width="1.85546875" style="98" customWidth="1"/>
    <col min="3845" max="3845" width="1.7109375" style="98" customWidth="1"/>
    <col min="3846" max="3846" width="16.42578125" style="98" customWidth="1"/>
    <col min="3847" max="3847" width="9.42578125" style="98" customWidth="1"/>
    <col min="3848" max="3854" width="9.140625" style="98"/>
    <col min="3855" max="3855" width="9.28515625" style="98" customWidth="1"/>
    <col min="3856" max="4096" width="9.140625" style="98"/>
    <col min="4097" max="4097" width="2.85546875" style="98" customWidth="1"/>
    <col min="4098" max="4098" width="1.7109375" style="98" customWidth="1"/>
    <col min="4099" max="4099" width="2" style="98" customWidth="1"/>
    <col min="4100" max="4100" width="1.85546875" style="98" customWidth="1"/>
    <col min="4101" max="4101" width="1.7109375" style="98" customWidth="1"/>
    <col min="4102" max="4102" width="16.42578125" style="98" customWidth="1"/>
    <col min="4103" max="4103" width="9.42578125" style="98" customWidth="1"/>
    <col min="4104" max="4110" width="9.140625" style="98"/>
    <col min="4111" max="4111" width="9.28515625" style="98" customWidth="1"/>
    <col min="4112" max="4352" width="9.140625" style="98"/>
    <col min="4353" max="4353" width="2.85546875" style="98" customWidth="1"/>
    <col min="4354" max="4354" width="1.7109375" style="98" customWidth="1"/>
    <col min="4355" max="4355" width="2" style="98" customWidth="1"/>
    <col min="4356" max="4356" width="1.85546875" style="98" customWidth="1"/>
    <col min="4357" max="4357" width="1.7109375" style="98" customWidth="1"/>
    <col min="4358" max="4358" width="16.42578125" style="98" customWidth="1"/>
    <col min="4359" max="4359" width="9.42578125" style="98" customWidth="1"/>
    <col min="4360" max="4366" width="9.140625" style="98"/>
    <col min="4367" max="4367" width="9.28515625" style="98" customWidth="1"/>
    <col min="4368" max="4608" width="9.140625" style="98"/>
    <col min="4609" max="4609" width="2.85546875" style="98" customWidth="1"/>
    <col min="4610" max="4610" width="1.7109375" style="98" customWidth="1"/>
    <col min="4611" max="4611" width="2" style="98" customWidth="1"/>
    <col min="4612" max="4612" width="1.85546875" style="98" customWidth="1"/>
    <col min="4613" max="4613" width="1.7109375" style="98" customWidth="1"/>
    <col min="4614" max="4614" width="16.42578125" style="98" customWidth="1"/>
    <col min="4615" max="4615" width="9.42578125" style="98" customWidth="1"/>
    <col min="4616" max="4622" width="9.140625" style="98"/>
    <col min="4623" max="4623" width="9.28515625" style="98" customWidth="1"/>
    <col min="4624" max="4864" width="9.140625" style="98"/>
    <col min="4865" max="4865" width="2.85546875" style="98" customWidth="1"/>
    <col min="4866" max="4866" width="1.7109375" style="98" customWidth="1"/>
    <col min="4867" max="4867" width="2" style="98" customWidth="1"/>
    <col min="4868" max="4868" width="1.85546875" style="98" customWidth="1"/>
    <col min="4869" max="4869" width="1.7109375" style="98" customWidth="1"/>
    <col min="4870" max="4870" width="16.42578125" style="98" customWidth="1"/>
    <col min="4871" max="4871" width="9.42578125" style="98" customWidth="1"/>
    <col min="4872" max="4878" width="9.140625" style="98"/>
    <col min="4879" max="4879" width="9.28515625" style="98" customWidth="1"/>
    <col min="4880" max="5120" width="9.140625" style="98"/>
    <col min="5121" max="5121" width="2.85546875" style="98" customWidth="1"/>
    <col min="5122" max="5122" width="1.7109375" style="98" customWidth="1"/>
    <col min="5123" max="5123" width="2" style="98" customWidth="1"/>
    <col min="5124" max="5124" width="1.85546875" style="98" customWidth="1"/>
    <col min="5125" max="5125" width="1.7109375" style="98" customWidth="1"/>
    <col min="5126" max="5126" width="16.42578125" style="98" customWidth="1"/>
    <col min="5127" max="5127" width="9.42578125" style="98" customWidth="1"/>
    <col min="5128" max="5134" width="9.140625" style="98"/>
    <col min="5135" max="5135" width="9.28515625" style="98" customWidth="1"/>
    <col min="5136" max="5376" width="9.140625" style="98"/>
    <col min="5377" max="5377" width="2.85546875" style="98" customWidth="1"/>
    <col min="5378" max="5378" width="1.7109375" style="98" customWidth="1"/>
    <col min="5379" max="5379" width="2" style="98" customWidth="1"/>
    <col min="5380" max="5380" width="1.85546875" style="98" customWidth="1"/>
    <col min="5381" max="5381" width="1.7109375" style="98" customWidth="1"/>
    <col min="5382" max="5382" width="16.42578125" style="98" customWidth="1"/>
    <col min="5383" max="5383" width="9.42578125" style="98" customWidth="1"/>
    <col min="5384" max="5390" width="9.140625" style="98"/>
    <col min="5391" max="5391" width="9.28515625" style="98" customWidth="1"/>
    <col min="5392" max="5632" width="9.140625" style="98"/>
    <col min="5633" max="5633" width="2.85546875" style="98" customWidth="1"/>
    <col min="5634" max="5634" width="1.7109375" style="98" customWidth="1"/>
    <col min="5635" max="5635" width="2" style="98" customWidth="1"/>
    <col min="5636" max="5636" width="1.85546875" style="98" customWidth="1"/>
    <col min="5637" max="5637" width="1.7109375" style="98" customWidth="1"/>
    <col min="5638" max="5638" width="16.42578125" style="98" customWidth="1"/>
    <col min="5639" max="5639" width="9.42578125" style="98" customWidth="1"/>
    <col min="5640" max="5646" width="9.140625" style="98"/>
    <col min="5647" max="5647" width="9.28515625" style="98" customWidth="1"/>
    <col min="5648" max="5888" width="9.140625" style="98"/>
    <col min="5889" max="5889" width="2.85546875" style="98" customWidth="1"/>
    <col min="5890" max="5890" width="1.7109375" style="98" customWidth="1"/>
    <col min="5891" max="5891" width="2" style="98" customWidth="1"/>
    <col min="5892" max="5892" width="1.85546875" style="98" customWidth="1"/>
    <col min="5893" max="5893" width="1.7109375" style="98" customWidth="1"/>
    <col min="5894" max="5894" width="16.42578125" style="98" customWidth="1"/>
    <col min="5895" max="5895" width="9.42578125" style="98" customWidth="1"/>
    <col min="5896" max="5902" width="9.140625" style="98"/>
    <col min="5903" max="5903" width="9.28515625" style="98" customWidth="1"/>
    <col min="5904" max="6144" width="9.140625" style="98"/>
    <col min="6145" max="6145" width="2.85546875" style="98" customWidth="1"/>
    <col min="6146" max="6146" width="1.7109375" style="98" customWidth="1"/>
    <col min="6147" max="6147" width="2" style="98" customWidth="1"/>
    <col min="6148" max="6148" width="1.85546875" style="98" customWidth="1"/>
    <col min="6149" max="6149" width="1.7109375" style="98" customWidth="1"/>
    <col min="6150" max="6150" width="16.42578125" style="98" customWidth="1"/>
    <col min="6151" max="6151" width="9.42578125" style="98" customWidth="1"/>
    <col min="6152" max="6158" width="9.140625" style="98"/>
    <col min="6159" max="6159" width="9.28515625" style="98" customWidth="1"/>
    <col min="6160" max="6400" width="9.140625" style="98"/>
    <col min="6401" max="6401" width="2.85546875" style="98" customWidth="1"/>
    <col min="6402" max="6402" width="1.7109375" style="98" customWidth="1"/>
    <col min="6403" max="6403" width="2" style="98" customWidth="1"/>
    <col min="6404" max="6404" width="1.85546875" style="98" customWidth="1"/>
    <col min="6405" max="6405" width="1.7109375" style="98" customWidth="1"/>
    <col min="6406" max="6406" width="16.42578125" style="98" customWidth="1"/>
    <col min="6407" max="6407" width="9.42578125" style="98" customWidth="1"/>
    <col min="6408" max="6414" width="9.140625" style="98"/>
    <col min="6415" max="6415" width="9.28515625" style="98" customWidth="1"/>
    <col min="6416" max="6656" width="9.140625" style="98"/>
    <col min="6657" max="6657" width="2.85546875" style="98" customWidth="1"/>
    <col min="6658" max="6658" width="1.7109375" style="98" customWidth="1"/>
    <col min="6659" max="6659" width="2" style="98" customWidth="1"/>
    <col min="6660" max="6660" width="1.85546875" style="98" customWidth="1"/>
    <col min="6661" max="6661" width="1.7109375" style="98" customWidth="1"/>
    <col min="6662" max="6662" width="16.42578125" style="98" customWidth="1"/>
    <col min="6663" max="6663" width="9.42578125" style="98" customWidth="1"/>
    <col min="6664" max="6670" width="9.140625" style="98"/>
    <col min="6671" max="6671" width="9.28515625" style="98" customWidth="1"/>
    <col min="6672" max="6912" width="9.140625" style="98"/>
    <col min="6913" max="6913" width="2.85546875" style="98" customWidth="1"/>
    <col min="6914" max="6914" width="1.7109375" style="98" customWidth="1"/>
    <col min="6915" max="6915" width="2" style="98" customWidth="1"/>
    <col min="6916" max="6916" width="1.85546875" style="98" customWidth="1"/>
    <col min="6917" max="6917" width="1.7109375" style="98" customWidth="1"/>
    <col min="6918" max="6918" width="16.42578125" style="98" customWidth="1"/>
    <col min="6919" max="6919" width="9.42578125" style="98" customWidth="1"/>
    <col min="6920" max="6926" width="9.140625" style="98"/>
    <col min="6927" max="6927" width="9.28515625" style="98" customWidth="1"/>
    <col min="6928" max="7168" width="9.140625" style="98"/>
    <col min="7169" max="7169" width="2.85546875" style="98" customWidth="1"/>
    <col min="7170" max="7170" width="1.7109375" style="98" customWidth="1"/>
    <col min="7171" max="7171" width="2" style="98" customWidth="1"/>
    <col min="7172" max="7172" width="1.85546875" style="98" customWidth="1"/>
    <col min="7173" max="7173" width="1.7109375" style="98" customWidth="1"/>
    <col min="7174" max="7174" width="16.42578125" style="98" customWidth="1"/>
    <col min="7175" max="7175" width="9.42578125" style="98" customWidth="1"/>
    <col min="7176" max="7182" width="9.140625" style="98"/>
    <col min="7183" max="7183" width="9.28515625" style="98" customWidth="1"/>
    <col min="7184" max="7424" width="9.140625" style="98"/>
    <col min="7425" max="7425" width="2.85546875" style="98" customWidth="1"/>
    <col min="7426" max="7426" width="1.7109375" style="98" customWidth="1"/>
    <col min="7427" max="7427" width="2" style="98" customWidth="1"/>
    <col min="7428" max="7428" width="1.85546875" style="98" customWidth="1"/>
    <col min="7429" max="7429" width="1.7109375" style="98" customWidth="1"/>
    <col min="7430" max="7430" width="16.42578125" style="98" customWidth="1"/>
    <col min="7431" max="7431" width="9.42578125" style="98" customWidth="1"/>
    <col min="7432" max="7438" width="9.140625" style="98"/>
    <col min="7439" max="7439" width="9.28515625" style="98" customWidth="1"/>
    <col min="7440" max="7680" width="9.140625" style="98"/>
    <col min="7681" max="7681" width="2.85546875" style="98" customWidth="1"/>
    <col min="7682" max="7682" width="1.7109375" style="98" customWidth="1"/>
    <col min="7683" max="7683" width="2" style="98" customWidth="1"/>
    <col min="7684" max="7684" width="1.85546875" style="98" customWidth="1"/>
    <col min="7685" max="7685" width="1.7109375" style="98" customWidth="1"/>
    <col min="7686" max="7686" width="16.42578125" style="98" customWidth="1"/>
    <col min="7687" max="7687" width="9.42578125" style="98" customWidth="1"/>
    <col min="7688" max="7694" width="9.140625" style="98"/>
    <col min="7695" max="7695" width="9.28515625" style="98" customWidth="1"/>
    <col min="7696" max="7936" width="9.140625" style="98"/>
    <col min="7937" max="7937" width="2.85546875" style="98" customWidth="1"/>
    <col min="7938" max="7938" width="1.7109375" style="98" customWidth="1"/>
    <col min="7939" max="7939" width="2" style="98" customWidth="1"/>
    <col min="7940" max="7940" width="1.85546875" style="98" customWidth="1"/>
    <col min="7941" max="7941" width="1.7109375" style="98" customWidth="1"/>
    <col min="7942" max="7942" width="16.42578125" style="98" customWidth="1"/>
    <col min="7943" max="7943" width="9.42578125" style="98" customWidth="1"/>
    <col min="7944" max="7950" width="9.140625" style="98"/>
    <col min="7951" max="7951" width="9.28515625" style="98" customWidth="1"/>
    <col min="7952" max="8192" width="9.140625" style="98"/>
    <col min="8193" max="8193" width="2.85546875" style="98" customWidth="1"/>
    <col min="8194" max="8194" width="1.7109375" style="98" customWidth="1"/>
    <col min="8195" max="8195" width="2" style="98" customWidth="1"/>
    <col min="8196" max="8196" width="1.85546875" style="98" customWidth="1"/>
    <col min="8197" max="8197" width="1.7109375" style="98" customWidth="1"/>
    <col min="8198" max="8198" width="16.42578125" style="98" customWidth="1"/>
    <col min="8199" max="8199" width="9.42578125" style="98" customWidth="1"/>
    <col min="8200" max="8206" width="9.140625" style="98"/>
    <col min="8207" max="8207" width="9.28515625" style="98" customWidth="1"/>
    <col min="8208" max="8448" width="9.140625" style="98"/>
    <col min="8449" max="8449" width="2.85546875" style="98" customWidth="1"/>
    <col min="8450" max="8450" width="1.7109375" style="98" customWidth="1"/>
    <col min="8451" max="8451" width="2" style="98" customWidth="1"/>
    <col min="8452" max="8452" width="1.85546875" style="98" customWidth="1"/>
    <col min="8453" max="8453" width="1.7109375" style="98" customWidth="1"/>
    <col min="8454" max="8454" width="16.42578125" style="98" customWidth="1"/>
    <col min="8455" max="8455" width="9.42578125" style="98" customWidth="1"/>
    <col min="8456" max="8462" width="9.140625" style="98"/>
    <col min="8463" max="8463" width="9.28515625" style="98" customWidth="1"/>
    <col min="8464" max="8704" width="9.140625" style="98"/>
    <col min="8705" max="8705" width="2.85546875" style="98" customWidth="1"/>
    <col min="8706" max="8706" width="1.7109375" style="98" customWidth="1"/>
    <col min="8707" max="8707" width="2" style="98" customWidth="1"/>
    <col min="8708" max="8708" width="1.85546875" style="98" customWidth="1"/>
    <col min="8709" max="8709" width="1.7109375" style="98" customWidth="1"/>
    <col min="8710" max="8710" width="16.42578125" style="98" customWidth="1"/>
    <col min="8711" max="8711" width="9.42578125" style="98" customWidth="1"/>
    <col min="8712" max="8718" width="9.140625" style="98"/>
    <col min="8719" max="8719" width="9.28515625" style="98" customWidth="1"/>
    <col min="8720" max="8960" width="9.140625" style="98"/>
    <col min="8961" max="8961" width="2.85546875" style="98" customWidth="1"/>
    <col min="8962" max="8962" width="1.7109375" style="98" customWidth="1"/>
    <col min="8963" max="8963" width="2" style="98" customWidth="1"/>
    <col min="8964" max="8964" width="1.85546875" style="98" customWidth="1"/>
    <col min="8965" max="8965" width="1.7109375" style="98" customWidth="1"/>
    <col min="8966" max="8966" width="16.42578125" style="98" customWidth="1"/>
    <col min="8967" max="8967" width="9.42578125" style="98" customWidth="1"/>
    <col min="8968" max="8974" width="9.140625" style="98"/>
    <col min="8975" max="8975" width="9.28515625" style="98" customWidth="1"/>
    <col min="8976" max="9216" width="9.140625" style="98"/>
    <col min="9217" max="9217" width="2.85546875" style="98" customWidth="1"/>
    <col min="9218" max="9218" width="1.7109375" style="98" customWidth="1"/>
    <col min="9219" max="9219" width="2" style="98" customWidth="1"/>
    <col min="9220" max="9220" width="1.85546875" style="98" customWidth="1"/>
    <col min="9221" max="9221" width="1.7109375" style="98" customWidth="1"/>
    <col min="9222" max="9222" width="16.42578125" style="98" customWidth="1"/>
    <col min="9223" max="9223" width="9.42578125" style="98" customWidth="1"/>
    <col min="9224" max="9230" width="9.140625" style="98"/>
    <col min="9231" max="9231" width="9.28515625" style="98" customWidth="1"/>
    <col min="9232" max="9472" width="9.140625" style="98"/>
    <col min="9473" max="9473" width="2.85546875" style="98" customWidth="1"/>
    <col min="9474" max="9474" width="1.7109375" style="98" customWidth="1"/>
    <col min="9475" max="9475" width="2" style="98" customWidth="1"/>
    <col min="9476" max="9476" width="1.85546875" style="98" customWidth="1"/>
    <col min="9477" max="9477" width="1.7109375" style="98" customWidth="1"/>
    <col min="9478" max="9478" width="16.42578125" style="98" customWidth="1"/>
    <col min="9479" max="9479" width="9.42578125" style="98" customWidth="1"/>
    <col min="9480" max="9486" width="9.140625" style="98"/>
    <col min="9487" max="9487" width="9.28515625" style="98" customWidth="1"/>
    <col min="9488" max="9728" width="9.140625" style="98"/>
    <col min="9729" max="9729" width="2.85546875" style="98" customWidth="1"/>
    <col min="9730" max="9730" width="1.7109375" style="98" customWidth="1"/>
    <col min="9731" max="9731" width="2" style="98" customWidth="1"/>
    <col min="9732" max="9732" width="1.85546875" style="98" customWidth="1"/>
    <col min="9733" max="9733" width="1.7109375" style="98" customWidth="1"/>
    <col min="9734" max="9734" width="16.42578125" style="98" customWidth="1"/>
    <col min="9735" max="9735" width="9.42578125" style="98" customWidth="1"/>
    <col min="9736" max="9742" width="9.140625" style="98"/>
    <col min="9743" max="9743" width="9.28515625" style="98" customWidth="1"/>
    <col min="9744" max="9984" width="9.140625" style="98"/>
    <col min="9985" max="9985" width="2.85546875" style="98" customWidth="1"/>
    <col min="9986" max="9986" width="1.7109375" style="98" customWidth="1"/>
    <col min="9987" max="9987" width="2" style="98" customWidth="1"/>
    <col min="9988" max="9988" width="1.85546875" style="98" customWidth="1"/>
    <col min="9989" max="9989" width="1.7109375" style="98" customWidth="1"/>
    <col min="9990" max="9990" width="16.42578125" style="98" customWidth="1"/>
    <col min="9991" max="9991" width="9.42578125" style="98" customWidth="1"/>
    <col min="9992" max="9998" width="9.140625" style="98"/>
    <col min="9999" max="9999" width="9.28515625" style="98" customWidth="1"/>
    <col min="10000" max="10240" width="9.140625" style="98"/>
    <col min="10241" max="10241" width="2.85546875" style="98" customWidth="1"/>
    <col min="10242" max="10242" width="1.7109375" style="98" customWidth="1"/>
    <col min="10243" max="10243" width="2" style="98" customWidth="1"/>
    <col min="10244" max="10244" width="1.85546875" style="98" customWidth="1"/>
    <col min="10245" max="10245" width="1.7109375" style="98" customWidth="1"/>
    <col min="10246" max="10246" width="16.42578125" style="98" customWidth="1"/>
    <col min="10247" max="10247" width="9.42578125" style="98" customWidth="1"/>
    <col min="10248" max="10254" width="9.140625" style="98"/>
    <col min="10255" max="10255" width="9.28515625" style="98" customWidth="1"/>
    <col min="10256" max="10496" width="9.140625" style="98"/>
    <col min="10497" max="10497" width="2.85546875" style="98" customWidth="1"/>
    <col min="10498" max="10498" width="1.7109375" style="98" customWidth="1"/>
    <col min="10499" max="10499" width="2" style="98" customWidth="1"/>
    <col min="10500" max="10500" width="1.85546875" style="98" customWidth="1"/>
    <col min="10501" max="10501" width="1.7109375" style="98" customWidth="1"/>
    <col min="10502" max="10502" width="16.42578125" style="98" customWidth="1"/>
    <col min="10503" max="10503" width="9.42578125" style="98" customWidth="1"/>
    <col min="10504" max="10510" width="9.140625" style="98"/>
    <col min="10511" max="10511" width="9.28515625" style="98" customWidth="1"/>
    <col min="10512" max="10752" width="9.140625" style="98"/>
    <col min="10753" max="10753" width="2.85546875" style="98" customWidth="1"/>
    <col min="10754" max="10754" width="1.7109375" style="98" customWidth="1"/>
    <col min="10755" max="10755" width="2" style="98" customWidth="1"/>
    <col min="10756" max="10756" width="1.85546875" style="98" customWidth="1"/>
    <col min="10757" max="10757" width="1.7109375" style="98" customWidth="1"/>
    <col min="10758" max="10758" width="16.42578125" style="98" customWidth="1"/>
    <col min="10759" max="10759" width="9.42578125" style="98" customWidth="1"/>
    <col min="10760" max="10766" width="9.140625" style="98"/>
    <col min="10767" max="10767" width="9.28515625" style="98" customWidth="1"/>
    <col min="10768" max="11008" width="9.140625" style="98"/>
    <col min="11009" max="11009" width="2.85546875" style="98" customWidth="1"/>
    <col min="11010" max="11010" width="1.7109375" style="98" customWidth="1"/>
    <col min="11011" max="11011" width="2" style="98" customWidth="1"/>
    <col min="11012" max="11012" width="1.85546875" style="98" customWidth="1"/>
    <col min="11013" max="11013" width="1.7109375" style="98" customWidth="1"/>
    <col min="11014" max="11014" width="16.42578125" style="98" customWidth="1"/>
    <col min="11015" max="11015" width="9.42578125" style="98" customWidth="1"/>
    <col min="11016" max="11022" width="9.140625" style="98"/>
    <col min="11023" max="11023" width="9.28515625" style="98" customWidth="1"/>
    <col min="11024" max="11264" width="9.140625" style="98"/>
    <col min="11265" max="11265" width="2.85546875" style="98" customWidth="1"/>
    <col min="11266" max="11266" width="1.7109375" style="98" customWidth="1"/>
    <col min="11267" max="11267" width="2" style="98" customWidth="1"/>
    <col min="11268" max="11268" width="1.85546875" style="98" customWidth="1"/>
    <col min="11269" max="11269" width="1.7109375" style="98" customWidth="1"/>
    <col min="11270" max="11270" width="16.42578125" style="98" customWidth="1"/>
    <col min="11271" max="11271" width="9.42578125" style="98" customWidth="1"/>
    <col min="11272" max="11278" width="9.140625" style="98"/>
    <col min="11279" max="11279" width="9.28515625" style="98" customWidth="1"/>
    <col min="11280" max="11520" width="9.140625" style="98"/>
    <col min="11521" max="11521" width="2.85546875" style="98" customWidth="1"/>
    <col min="11522" max="11522" width="1.7109375" style="98" customWidth="1"/>
    <col min="11523" max="11523" width="2" style="98" customWidth="1"/>
    <col min="11524" max="11524" width="1.85546875" style="98" customWidth="1"/>
    <col min="11525" max="11525" width="1.7109375" style="98" customWidth="1"/>
    <col min="11526" max="11526" width="16.42578125" style="98" customWidth="1"/>
    <col min="11527" max="11527" width="9.42578125" style="98" customWidth="1"/>
    <col min="11528" max="11534" width="9.140625" style="98"/>
    <col min="11535" max="11535" width="9.28515625" style="98" customWidth="1"/>
    <col min="11536" max="11776" width="9.140625" style="98"/>
    <col min="11777" max="11777" width="2.85546875" style="98" customWidth="1"/>
    <col min="11778" max="11778" width="1.7109375" style="98" customWidth="1"/>
    <col min="11779" max="11779" width="2" style="98" customWidth="1"/>
    <col min="11780" max="11780" width="1.85546875" style="98" customWidth="1"/>
    <col min="11781" max="11781" width="1.7109375" style="98" customWidth="1"/>
    <col min="11782" max="11782" width="16.42578125" style="98" customWidth="1"/>
    <col min="11783" max="11783" width="9.42578125" style="98" customWidth="1"/>
    <col min="11784" max="11790" width="9.140625" style="98"/>
    <col min="11791" max="11791" width="9.28515625" style="98" customWidth="1"/>
    <col min="11792" max="12032" width="9.140625" style="98"/>
    <col min="12033" max="12033" width="2.85546875" style="98" customWidth="1"/>
    <col min="12034" max="12034" width="1.7109375" style="98" customWidth="1"/>
    <col min="12035" max="12035" width="2" style="98" customWidth="1"/>
    <col min="12036" max="12036" width="1.85546875" style="98" customWidth="1"/>
    <col min="12037" max="12037" width="1.7109375" style="98" customWidth="1"/>
    <col min="12038" max="12038" width="16.42578125" style="98" customWidth="1"/>
    <col min="12039" max="12039" width="9.42578125" style="98" customWidth="1"/>
    <col min="12040" max="12046" width="9.140625" style="98"/>
    <col min="12047" max="12047" width="9.28515625" style="98" customWidth="1"/>
    <col min="12048" max="12288" width="9.140625" style="98"/>
    <col min="12289" max="12289" width="2.85546875" style="98" customWidth="1"/>
    <col min="12290" max="12290" width="1.7109375" style="98" customWidth="1"/>
    <col min="12291" max="12291" width="2" style="98" customWidth="1"/>
    <col min="12292" max="12292" width="1.85546875" style="98" customWidth="1"/>
    <col min="12293" max="12293" width="1.7109375" style="98" customWidth="1"/>
    <col min="12294" max="12294" width="16.42578125" style="98" customWidth="1"/>
    <col min="12295" max="12295" width="9.42578125" style="98" customWidth="1"/>
    <col min="12296" max="12302" width="9.140625" style="98"/>
    <col min="12303" max="12303" width="9.28515625" style="98" customWidth="1"/>
    <col min="12304" max="12544" width="9.140625" style="98"/>
    <col min="12545" max="12545" width="2.85546875" style="98" customWidth="1"/>
    <col min="12546" max="12546" width="1.7109375" style="98" customWidth="1"/>
    <col min="12547" max="12547" width="2" style="98" customWidth="1"/>
    <col min="12548" max="12548" width="1.85546875" style="98" customWidth="1"/>
    <col min="12549" max="12549" width="1.7109375" style="98" customWidth="1"/>
    <col min="12550" max="12550" width="16.42578125" style="98" customWidth="1"/>
    <col min="12551" max="12551" width="9.42578125" style="98" customWidth="1"/>
    <col min="12552" max="12558" width="9.140625" style="98"/>
    <col min="12559" max="12559" width="9.28515625" style="98" customWidth="1"/>
    <col min="12560" max="12800" width="9.140625" style="98"/>
    <col min="12801" max="12801" width="2.85546875" style="98" customWidth="1"/>
    <col min="12802" max="12802" width="1.7109375" style="98" customWidth="1"/>
    <col min="12803" max="12803" width="2" style="98" customWidth="1"/>
    <col min="12804" max="12804" width="1.85546875" style="98" customWidth="1"/>
    <col min="12805" max="12805" width="1.7109375" style="98" customWidth="1"/>
    <col min="12806" max="12806" width="16.42578125" style="98" customWidth="1"/>
    <col min="12807" max="12807" width="9.42578125" style="98" customWidth="1"/>
    <col min="12808" max="12814" width="9.140625" style="98"/>
    <col min="12815" max="12815" width="9.28515625" style="98" customWidth="1"/>
    <col min="12816" max="13056" width="9.140625" style="98"/>
    <col min="13057" max="13057" width="2.85546875" style="98" customWidth="1"/>
    <col min="13058" max="13058" width="1.7109375" style="98" customWidth="1"/>
    <col min="13059" max="13059" width="2" style="98" customWidth="1"/>
    <col min="13060" max="13060" width="1.85546875" style="98" customWidth="1"/>
    <col min="13061" max="13061" width="1.7109375" style="98" customWidth="1"/>
    <col min="13062" max="13062" width="16.42578125" style="98" customWidth="1"/>
    <col min="13063" max="13063" width="9.42578125" style="98" customWidth="1"/>
    <col min="13064" max="13070" width="9.140625" style="98"/>
    <col min="13071" max="13071" width="9.28515625" style="98" customWidth="1"/>
    <col min="13072" max="13312" width="9.140625" style="98"/>
    <col min="13313" max="13313" width="2.85546875" style="98" customWidth="1"/>
    <col min="13314" max="13314" width="1.7109375" style="98" customWidth="1"/>
    <col min="13315" max="13315" width="2" style="98" customWidth="1"/>
    <col min="13316" max="13316" width="1.85546875" style="98" customWidth="1"/>
    <col min="13317" max="13317" width="1.7109375" style="98" customWidth="1"/>
    <col min="13318" max="13318" width="16.42578125" style="98" customWidth="1"/>
    <col min="13319" max="13319" width="9.42578125" style="98" customWidth="1"/>
    <col min="13320" max="13326" width="9.140625" style="98"/>
    <col min="13327" max="13327" width="9.28515625" style="98" customWidth="1"/>
    <col min="13328" max="13568" width="9.140625" style="98"/>
    <col min="13569" max="13569" width="2.85546875" style="98" customWidth="1"/>
    <col min="13570" max="13570" width="1.7109375" style="98" customWidth="1"/>
    <col min="13571" max="13571" width="2" style="98" customWidth="1"/>
    <col min="13572" max="13572" width="1.85546875" style="98" customWidth="1"/>
    <col min="13573" max="13573" width="1.7109375" style="98" customWidth="1"/>
    <col min="13574" max="13574" width="16.42578125" style="98" customWidth="1"/>
    <col min="13575" max="13575" width="9.42578125" style="98" customWidth="1"/>
    <col min="13576" max="13582" width="9.140625" style="98"/>
    <col min="13583" max="13583" width="9.28515625" style="98" customWidth="1"/>
    <col min="13584" max="13824" width="9.140625" style="98"/>
    <col min="13825" max="13825" width="2.85546875" style="98" customWidth="1"/>
    <col min="13826" max="13826" width="1.7109375" style="98" customWidth="1"/>
    <col min="13827" max="13827" width="2" style="98" customWidth="1"/>
    <col min="13828" max="13828" width="1.85546875" style="98" customWidth="1"/>
    <col min="13829" max="13829" width="1.7109375" style="98" customWidth="1"/>
    <col min="13830" max="13830" width="16.42578125" style="98" customWidth="1"/>
    <col min="13831" max="13831" width="9.42578125" style="98" customWidth="1"/>
    <col min="13832" max="13838" width="9.140625" style="98"/>
    <col min="13839" max="13839" width="9.28515625" style="98" customWidth="1"/>
    <col min="13840" max="14080" width="9.140625" style="98"/>
    <col min="14081" max="14081" width="2.85546875" style="98" customWidth="1"/>
    <col min="14082" max="14082" width="1.7109375" style="98" customWidth="1"/>
    <col min="14083" max="14083" width="2" style="98" customWidth="1"/>
    <col min="14084" max="14084" width="1.85546875" style="98" customWidth="1"/>
    <col min="14085" max="14085" width="1.7109375" style="98" customWidth="1"/>
    <col min="14086" max="14086" width="16.42578125" style="98" customWidth="1"/>
    <col min="14087" max="14087" width="9.42578125" style="98" customWidth="1"/>
    <col min="14088" max="14094" width="9.140625" style="98"/>
    <col min="14095" max="14095" width="9.28515625" style="98" customWidth="1"/>
    <col min="14096" max="14336" width="9.140625" style="98"/>
    <col min="14337" max="14337" width="2.85546875" style="98" customWidth="1"/>
    <col min="14338" max="14338" width="1.7109375" style="98" customWidth="1"/>
    <col min="14339" max="14339" width="2" style="98" customWidth="1"/>
    <col min="14340" max="14340" width="1.85546875" style="98" customWidth="1"/>
    <col min="14341" max="14341" width="1.7109375" style="98" customWidth="1"/>
    <col min="14342" max="14342" width="16.42578125" style="98" customWidth="1"/>
    <col min="14343" max="14343" width="9.42578125" style="98" customWidth="1"/>
    <col min="14344" max="14350" width="9.140625" style="98"/>
    <col min="14351" max="14351" width="9.28515625" style="98" customWidth="1"/>
    <col min="14352" max="14592" width="9.140625" style="98"/>
    <col min="14593" max="14593" width="2.85546875" style="98" customWidth="1"/>
    <col min="14594" max="14594" width="1.7109375" style="98" customWidth="1"/>
    <col min="14595" max="14595" width="2" style="98" customWidth="1"/>
    <col min="14596" max="14596" width="1.85546875" style="98" customWidth="1"/>
    <col min="14597" max="14597" width="1.7109375" style="98" customWidth="1"/>
    <col min="14598" max="14598" width="16.42578125" style="98" customWidth="1"/>
    <col min="14599" max="14599" width="9.42578125" style="98" customWidth="1"/>
    <col min="14600" max="14606" width="9.140625" style="98"/>
    <col min="14607" max="14607" width="9.28515625" style="98" customWidth="1"/>
    <col min="14608" max="14848" width="9.140625" style="98"/>
    <col min="14849" max="14849" width="2.85546875" style="98" customWidth="1"/>
    <col min="14850" max="14850" width="1.7109375" style="98" customWidth="1"/>
    <col min="14851" max="14851" width="2" style="98" customWidth="1"/>
    <col min="14852" max="14852" width="1.85546875" style="98" customWidth="1"/>
    <col min="14853" max="14853" width="1.7109375" style="98" customWidth="1"/>
    <col min="14854" max="14854" width="16.42578125" style="98" customWidth="1"/>
    <col min="14855" max="14855" width="9.42578125" style="98" customWidth="1"/>
    <col min="14856" max="14862" width="9.140625" style="98"/>
    <col min="14863" max="14863" width="9.28515625" style="98" customWidth="1"/>
    <col min="14864" max="15104" width="9.140625" style="98"/>
    <col min="15105" max="15105" width="2.85546875" style="98" customWidth="1"/>
    <col min="15106" max="15106" width="1.7109375" style="98" customWidth="1"/>
    <col min="15107" max="15107" width="2" style="98" customWidth="1"/>
    <col min="15108" max="15108" width="1.85546875" style="98" customWidth="1"/>
    <col min="15109" max="15109" width="1.7109375" style="98" customWidth="1"/>
    <col min="15110" max="15110" width="16.42578125" style="98" customWidth="1"/>
    <col min="15111" max="15111" width="9.42578125" style="98" customWidth="1"/>
    <col min="15112" max="15118" width="9.140625" style="98"/>
    <col min="15119" max="15119" width="9.28515625" style="98" customWidth="1"/>
    <col min="15120" max="15360" width="9.140625" style="98"/>
    <col min="15361" max="15361" width="2.85546875" style="98" customWidth="1"/>
    <col min="15362" max="15362" width="1.7109375" style="98" customWidth="1"/>
    <col min="15363" max="15363" width="2" style="98" customWidth="1"/>
    <col min="15364" max="15364" width="1.85546875" style="98" customWidth="1"/>
    <col min="15365" max="15365" width="1.7109375" style="98" customWidth="1"/>
    <col min="15366" max="15366" width="16.42578125" style="98" customWidth="1"/>
    <col min="15367" max="15367" width="9.42578125" style="98" customWidth="1"/>
    <col min="15368" max="15374" width="9.140625" style="98"/>
    <col min="15375" max="15375" width="9.28515625" style="98" customWidth="1"/>
    <col min="15376" max="15616" width="9.140625" style="98"/>
    <col min="15617" max="15617" width="2.85546875" style="98" customWidth="1"/>
    <col min="15618" max="15618" width="1.7109375" style="98" customWidth="1"/>
    <col min="15619" max="15619" width="2" style="98" customWidth="1"/>
    <col min="15620" max="15620" width="1.85546875" style="98" customWidth="1"/>
    <col min="15621" max="15621" width="1.7109375" style="98" customWidth="1"/>
    <col min="15622" max="15622" width="16.42578125" style="98" customWidth="1"/>
    <col min="15623" max="15623" width="9.42578125" style="98" customWidth="1"/>
    <col min="15624" max="15630" width="9.140625" style="98"/>
    <col min="15631" max="15631" width="9.28515625" style="98" customWidth="1"/>
    <col min="15632" max="15872" width="9.140625" style="98"/>
    <col min="15873" max="15873" width="2.85546875" style="98" customWidth="1"/>
    <col min="15874" max="15874" width="1.7109375" style="98" customWidth="1"/>
    <col min="15875" max="15875" width="2" style="98" customWidth="1"/>
    <col min="15876" max="15876" width="1.85546875" style="98" customWidth="1"/>
    <col min="15877" max="15877" width="1.7109375" style="98" customWidth="1"/>
    <col min="15878" max="15878" width="16.42578125" style="98" customWidth="1"/>
    <col min="15879" max="15879" width="9.42578125" style="98" customWidth="1"/>
    <col min="15880" max="15886" width="9.140625" style="98"/>
    <col min="15887" max="15887" width="9.28515625" style="98" customWidth="1"/>
    <col min="15888" max="16128" width="9.140625" style="98"/>
    <col min="16129" max="16129" width="2.85546875" style="98" customWidth="1"/>
    <col min="16130" max="16130" width="1.7109375" style="98" customWidth="1"/>
    <col min="16131" max="16131" width="2" style="98" customWidth="1"/>
    <col min="16132" max="16132" width="1.85546875" style="98" customWidth="1"/>
    <col min="16133" max="16133" width="1.7109375" style="98" customWidth="1"/>
    <col min="16134" max="16134" width="16.42578125" style="98" customWidth="1"/>
    <col min="16135" max="16135" width="9.42578125" style="98" customWidth="1"/>
    <col min="16136" max="16142" width="9.140625" style="98"/>
    <col min="16143" max="16143" width="9.28515625" style="98" customWidth="1"/>
    <col min="16144" max="16384" width="9.140625" style="98"/>
  </cols>
  <sheetData>
    <row r="1" spans="1:18">
      <c r="A1" s="97" t="s">
        <v>133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8">
      <c r="A2" s="97" t="s">
        <v>71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8">
      <c r="A3" s="98" t="s">
        <v>0</v>
      </c>
    </row>
    <row r="5" spans="1:18" ht="18" customHeight="1">
      <c r="A5" s="202" t="s">
        <v>1</v>
      </c>
      <c r="B5" s="203"/>
      <c r="C5" s="203"/>
      <c r="D5" s="203"/>
      <c r="E5" s="203"/>
      <c r="F5" s="203"/>
      <c r="G5" s="109" t="s">
        <v>5</v>
      </c>
      <c r="H5" s="109" t="s">
        <v>23</v>
      </c>
      <c r="I5" s="109" t="s">
        <v>24</v>
      </c>
      <c r="J5" s="109" t="s">
        <v>26</v>
      </c>
      <c r="K5" s="109" t="s">
        <v>27</v>
      </c>
      <c r="L5" s="109" t="s">
        <v>36</v>
      </c>
      <c r="M5" s="109" t="s">
        <v>28</v>
      </c>
      <c r="N5" s="109" t="s">
        <v>29</v>
      </c>
      <c r="O5" s="109" t="s">
        <v>39</v>
      </c>
      <c r="P5" s="109" t="s">
        <v>31</v>
      </c>
      <c r="Q5" s="109" t="s">
        <v>32</v>
      </c>
      <c r="R5" s="110" t="s">
        <v>33</v>
      </c>
    </row>
    <row r="6" spans="1:18">
      <c r="G6" s="100"/>
      <c r="H6" s="100"/>
      <c r="I6" s="100"/>
      <c r="J6" s="100"/>
      <c r="K6" s="100"/>
      <c r="L6" s="100"/>
    </row>
    <row r="7" spans="1:18">
      <c r="A7" s="97" t="s">
        <v>17</v>
      </c>
      <c r="B7" s="97"/>
      <c r="C7" s="97"/>
      <c r="D7" s="97"/>
      <c r="E7" s="97"/>
      <c r="F7" s="97"/>
      <c r="G7" s="101">
        <f t="shared" ref="G7:R7" si="0">+G9+G16</f>
        <v>577445.826</v>
      </c>
      <c r="H7" s="101">
        <f t="shared" si="0"/>
        <v>575246.826</v>
      </c>
      <c r="I7" s="101">
        <f t="shared" si="0"/>
        <v>570503.826</v>
      </c>
      <c r="J7" s="101">
        <f t="shared" si="0"/>
        <v>580937.826</v>
      </c>
      <c r="K7" s="101">
        <f t="shared" si="0"/>
        <v>591911.826</v>
      </c>
      <c r="L7" s="101">
        <f t="shared" si="0"/>
        <v>593418.826</v>
      </c>
      <c r="M7" s="101">
        <f t="shared" si="0"/>
        <v>575933.826</v>
      </c>
      <c r="N7" s="101">
        <f t="shared" si="0"/>
        <v>562971.826</v>
      </c>
      <c r="O7" s="101">
        <f t="shared" si="0"/>
        <v>552730.826</v>
      </c>
      <c r="P7" s="101">
        <f t="shared" si="0"/>
        <v>545589.826</v>
      </c>
      <c r="Q7" s="101">
        <f t="shared" si="0"/>
        <v>576985.826</v>
      </c>
      <c r="R7" s="101">
        <f t="shared" si="0"/>
        <v>569926.826</v>
      </c>
    </row>
    <row r="8" spans="1:18" ht="14.25">
      <c r="A8" s="3"/>
      <c r="B8" s="3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</row>
    <row r="9" spans="1:18">
      <c r="A9" s="97" t="s">
        <v>59</v>
      </c>
      <c r="B9" s="97"/>
      <c r="C9" s="97"/>
      <c r="D9" s="97"/>
      <c r="E9" s="97"/>
      <c r="F9" s="97"/>
      <c r="G9" s="103">
        <f t="shared" ref="G9:R9" si="1">G11+G12</f>
        <v>48159.826000000001</v>
      </c>
      <c r="H9" s="103">
        <f t="shared" si="1"/>
        <v>48145.826000000001</v>
      </c>
      <c r="I9" s="103">
        <f t="shared" si="1"/>
        <v>48140.826000000001</v>
      </c>
      <c r="J9" s="103">
        <f t="shared" si="1"/>
        <v>48137.826000000001</v>
      </c>
      <c r="K9" s="103">
        <f t="shared" si="1"/>
        <v>48133.826000000001</v>
      </c>
      <c r="L9" s="103">
        <f t="shared" si="1"/>
        <v>48129.826000000001</v>
      </c>
      <c r="M9" s="103">
        <f t="shared" si="1"/>
        <v>50127.826000000001</v>
      </c>
      <c r="N9" s="103">
        <f t="shared" si="1"/>
        <v>50124.826000000001</v>
      </c>
      <c r="O9" s="103">
        <f t="shared" si="1"/>
        <v>50121.826000000001</v>
      </c>
      <c r="P9" s="103">
        <f t="shared" si="1"/>
        <v>50117.826000000001</v>
      </c>
      <c r="Q9" s="103">
        <f t="shared" si="1"/>
        <v>56115.826000000001</v>
      </c>
      <c r="R9" s="103">
        <f t="shared" si="1"/>
        <v>72112.826000000001</v>
      </c>
    </row>
    <row r="10" spans="1:18"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18">
      <c r="B11" s="98" t="s">
        <v>134</v>
      </c>
      <c r="G11" s="104">
        <v>48009</v>
      </c>
      <c r="H11" s="104">
        <v>47995</v>
      </c>
      <c r="I11" s="104">
        <v>47990</v>
      </c>
      <c r="J11" s="104">
        <v>47987</v>
      </c>
      <c r="K11" s="104">
        <v>47983</v>
      </c>
      <c r="L11" s="104">
        <v>47979</v>
      </c>
      <c r="M11" s="104">
        <v>49977</v>
      </c>
      <c r="N11" s="104">
        <v>49974</v>
      </c>
      <c r="O11" s="104">
        <v>49971</v>
      </c>
      <c r="P11" s="104">
        <v>49967</v>
      </c>
      <c r="Q11" s="104">
        <v>55965</v>
      </c>
      <c r="R11" s="104">
        <v>71962</v>
      </c>
    </row>
    <row r="12" spans="1:18">
      <c r="B12" s="98" t="s">
        <v>135</v>
      </c>
      <c r="G12" s="111">
        <f t="shared" ref="G12:R12" si="2">+SUM(G13:G14)</f>
        <v>150.82599999999999</v>
      </c>
      <c r="H12" s="111">
        <f t="shared" si="2"/>
        <v>150.82599999999999</v>
      </c>
      <c r="I12" s="111">
        <f t="shared" si="2"/>
        <v>150.82599999999999</v>
      </c>
      <c r="J12" s="111">
        <f t="shared" si="2"/>
        <v>150.82599999999999</v>
      </c>
      <c r="K12" s="111">
        <f t="shared" si="2"/>
        <v>150.82599999999999</v>
      </c>
      <c r="L12" s="111">
        <f t="shared" si="2"/>
        <v>150.82599999999999</v>
      </c>
      <c r="M12" s="111">
        <f t="shared" si="2"/>
        <v>150.82599999999999</v>
      </c>
      <c r="N12" s="111">
        <f t="shared" si="2"/>
        <v>150.82599999999999</v>
      </c>
      <c r="O12" s="111">
        <f t="shared" si="2"/>
        <v>150.82599999999999</v>
      </c>
      <c r="P12" s="111">
        <f t="shared" si="2"/>
        <v>150.82599999999999</v>
      </c>
      <c r="Q12" s="111">
        <f t="shared" si="2"/>
        <v>150.82599999999999</v>
      </c>
      <c r="R12" s="111">
        <f t="shared" si="2"/>
        <v>150.82599999999999</v>
      </c>
    </row>
    <row r="13" spans="1:18">
      <c r="C13" s="98" t="s">
        <v>13</v>
      </c>
      <c r="G13" s="104">
        <v>36.826000000000001</v>
      </c>
      <c r="H13" s="104">
        <v>36.826000000000001</v>
      </c>
      <c r="I13" s="104">
        <v>36.826000000000001</v>
      </c>
      <c r="J13" s="104">
        <v>36.826000000000001</v>
      </c>
      <c r="K13" s="104">
        <v>36.826000000000001</v>
      </c>
      <c r="L13" s="104">
        <v>36.826000000000001</v>
      </c>
      <c r="M13" s="104">
        <v>36.826000000000001</v>
      </c>
      <c r="N13" s="104">
        <v>36.826000000000001</v>
      </c>
      <c r="O13" s="104">
        <v>36.826000000000001</v>
      </c>
      <c r="P13" s="104">
        <v>36.826000000000001</v>
      </c>
      <c r="Q13" s="104">
        <v>36.826000000000001</v>
      </c>
      <c r="R13" s="104">
        <v>36.826000000000001</v>
      </c>
    </row>
    <row r="14" spans="1:18">
      <c r="C14" s="98" t="s">
        <v>15</v>
      </c>
      <c r="G14" s="104">
        <v>114</v>
      </c>
      <c r="H14" s="104">
        <v>114</v>
      </c>
      <c r="I14" s="104">
        <v>114</v>
      </c>
      <c r="J14" s="104">
        <v>114</v>
      </c>
      <c r="K14" s="104">
        <v>114</v>
      </c>
      <c r="L14" s="104">
        <v>114</v>
      </c>
      <c r="M14" s="104">
        <v>114</v>
      </c>
      <c r="N14" s="104">
        <v>114</v>
      </c>
      <c r="O14" s="104">
        <v>114</v>
      </c>
      <c r="P14" s="104">
        <v>114</v>
      </c>
      <c r="Q14" s="104">
        <v>114</v>
      </c>
      <c r="R14" s="104">
        <v>114</v>
      </c>
    </row>
    <row r="15" spans="1:18"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</row>
    <row r="16" spans="1:18">
      <c r="A16" s="97" t="s">
        <v>136</v>
      </c>
      <c r="B16" s="97"/>
      <c r="C16" s="97"/>
      <c r="D16" s="97"/>
      <c r="E16" s="97"/>
      <c r="F16" s="97"/>
      <c r="G16" s="103">
        <f t="shared" ref="G16:R16" si="3">+G18+G19</f>
        <v>529286</v>
      </c>
      <c r="H16" s="103">
        <f t="shared" si="3"/>
        <v>527101</v>
      </c>
      <c r="I16" s="103">
        <f t="shared" si="3"/>
        <v>522363</v>
      </c>
      <c r="J16" s="103">
        <f t="shared" si="3"/>
        <v>532800</v>
      </c>
      <c r="K16" s="103">
        <f t="shared" si="3"/>
        <v>543778</v>
      </c>
      <c r="L16" s="103">
        <f t="shared" si="3"/>
        <v>545289</v>
      </c>
      <c r="M16" s="103">
        <f t="shared" si="3"/>
        <v>525806</v>
      </c>
      <c r="N16" s="103">
        <f t="shared" si="3"/>
        <v>512847</v>
      </c>
      <c r="O16" s="103">
        <f t="shared" si="3"/>
        <v>502609</v>
      </c>
      <c r="P16" s="103">
        <f t="shared" si="3"/>
        <v>495472</v>
      </c>
      <c r="Q16" s="103">
        <f t="shared" si="3"/>
        <v>520870</v>
      </c>
      <c r="R16" s="103">
        <f t="shared" si="3"/>
        <v>497814</v>
      </c>
    </row>
    <row r="17" spans="1:18"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18">
      <c r="B18" s="98" t="s">
        <v>134</v>
      </c>
      <c r="G18" s="104">
        <v>522040</v>
      </c>
      <c r="H18" s="104">
        <v>519883</v>
      </c>
      <c r="I18" s="104">
        <v>515248</v>
      </c>
      <c r="J18" s="104">
        <v>525548</v>
      </c>
      <c r="K18" s="104">
        <v>536357</v>
      </c>
      <c r="L18" s="104">
        <v>537794</v>
      </c>
      <c r="M18" s="104">
        <v>519859</v>
      </c>
      <c r="N18" s="104">
        <v>506989</v>
      </c>
      <c r="O18" s="104">
        <v>496827</v>
      </c>
      <c r="P18" s="104">
        <v>489754</v>
      </c>
      <c r="Q18" s="104">
        <v>515139</v>
      </c>
      <c r="R18" s="104">
        <v>492175</v>
      </c>
    </row>
    <row r="19" spans="1:18">
      <c r="B19" s="98" t="s">
        <v>135</v>
      </c>
      <c r="G19" s="111">
        <f t="shared" ref="G19:R19" si="4">+SUM(G20:G23)</f>
        <v>7246</v>
      </c>
      <c r="H19" s="111">
        <f t="shared" si="4"/>
        <v>7218</v>
      </c>
      <c r="I19" s="111">
        <f t="shared" si="4"/>
        <v>7115</v>
      </c>
      <c r="J19" s="111">
        <f t="shared" si="4"/>
        <v>7252</v>
      </c>
      <c r="K19" s="111">
        <f t="shared" si="4"/>
        <v>7421</v>
      </c>
      <c r="L19" s="111">
        <f t="shared" si="4"/>
        <v>7495</v>
      </c>
      <c r="M19" s="111">
        <f t="shared" si="4"/>
        <v>5947</v>
      </c>
      <c r="N19" s="111">
        <f t="shared" si="4"/>
        <v>5858</v>
      </c>
      <c r="O19" s="111">
        <f t="shared" si="4"/>
        <v>5782</v>
      </c>
      <c r="P19" s="111">
        <f t="shared" si="4"/>
        <v>5718</v>
      </c>
      <c r="Q19" s="111">
        <f t="shared" si="4"/>
        <v>5731</v>
      </c>
      <c r="R19" s="111">
        <f t="shared" si="4"/>
        <v>5639</v>
      </c>
    </row>
    <row r="20" spans="1:18">
      <c r="C20" s="98" t="s">
        <v>12</v>
      </c>
      <c r="G20" s="104">
        <v>5031</v>
      </c>
      <c r="H20" s="104">
        <v>5009</v>
      </c>
      <c r="I20" s="104">
        <v>4935</v>
      </c>
      <c r="J20" s="104">
        <v>4992</v>
      </c>
      <c r="K20" s="104">
        <v>5081</v>
      </c>
      <c r="L20" s="104">
        <v>5164</v>
      </c>
      <c r="M20" s="104">
        <v>4797</v>
      </c>
      <c r="N20" s="104">
        <v>4735</v>
      </c>
      <c r="O20" s="104">
        <v>4677</v>
      </c>
      <c r="P20" s="104">
        <v>4625</v>
      </c>
      <c r="Q20" s="104">
        <v>4623</v>
      </c>
      <c r="R20" s="104">
        <v>4560</v>
      </c>
    </row>
    <row r="21" spans="1:18">
      <c r="C21" s="98" t="s">
        <v>13</v>
      </c>
      <c r="G21" s="104">
        <v>2081</v>
      </c>
      <c r="H21" s="104">
        <v>2077</v>
      </c>
      <c r="I21" s="104">
        <v>2049</v>
      </c>
      <c r="J21" s="104">
        <v>2126</v>
      </c>
      <c r="K21" s="104">
        <v>2202</v>
      </c>
      <c r="L21" s="104">
        <v>2192</v>
      </c>
      <c r="M21" s="104">
        <v>1062</v>
      </c>
      <c r="N21" s="104">
        <v>1036</v>
      </c>
      <c r="O21" s="104">
        <v>1020</v>
      </c>
      <c r="P21" s="104">
        <v>1008</v>
      </c>
      <c r="Q21" s="104">
        <v>1023</v>
      </c>
      <c r="R21" s="104">
        <v>995</v>
      </c>
    </row>
    <row r="22" spans="1:18">
      <c r="C22" s="98" t="s">
        <v>156</v>
      </c>
      <c r="G22" s="104">
        <v>84</v>
      </c>
      <c r="H22" s="104">
        <v>83</v>
      </c>
      <c r="I22" s="104">
        <v>82</v>
      </c>
      <c r="J22" s="104">
        <v>83</v>
      </c>
      <c r="K22" s="104">
        <v>84</v>
      </c>
      <c r="L22" s="104">
        <v>86</v>
      </c>
      <c r="M22" s="104">
        <v>62</v>
      </c>
      <c r="N22" s="104">
        <v>61</v>
      </c>
      <c r="O22" s="104">
        <v>60</v>
      </c>
      <c r="P22" s="104">
        <v>60</v>
      </c>
      <c r="Q22" s="104">
        <v>60</v>
      </c>
      <c r="R22" s="104">
        <v>59</v>
      </c>
    </row>
    <row r="23" spans="1:18">
      <c r="C23" s="98" t="s">
        <v>15</v>
      </c>
      <c r="G23" s="104">
        <v>50</v>
      </c>
      <c r="H23" s="104">
        <v>49</v>
      </c>
      <c r="I23" s="104">
        <v>49</v>
      </c>
      <c r="J23" s="104">
        <v>51</v>
      </c>
      <c r="K23" s="104">
        <v>54</v>
      </c>
      <c r="L23" s="104">
        <v>53</v>
      </c>
      <c r="M23" s="104">
        <v>26</v>
      </c>
      <c r="N23" s="104">
        <v>26</v>
      </c>
      <c r="O23" s="104">
        <v>25</v>
      </c>
      <c r="P23" s="104">
        <v>25</v>
      </c>
      <c r="Q23" s="104">
        <v>25</v>
      </c>
      <c r="R23" s="104">
        <v>25</v>
      </c>
    </row>
    <row r="24" spans="1:18">
      <c r="G24" s="104"/>
    </row>
    <row r="25" spans="1:18">
      <c r="A25" s="99"/>
      <c r="B25" s="99"/>
      <c r="C25" s="99"/>
      <c r="D25" s="99"/>
      <c r="E25" s="99"/>
      <c r="F25" s="99"/>
    </row>
    <row r="26" spans="1:18">
      <c r="A26" s="98" t="s">
        <v>80</v>
      </c>
    </row>
    <row r="27" spans="1:18">
      <c r="A27" s="97"/>
    </row>
    <row r="28" spans="1:18">
      <c r="A28" s="97"/>
    </row>
    <row r="29" spans="1:18">
      <c r="A29" s="97"/>
    </row>
    <row r="30" spans="1:18">
      <c r="A30" s="97"/>
    </row>
    <row r="31" spans="1:18">
      <c r="A31" s="97"/>
    </row>
    <row r="32" spans="1:18">
      <c r="A32" s="97"/>
    </row>
    <row r="33" spans="1:7" ht="14.25">
      <c r="A33" s="112"/>
      <c r="B33" s="113"/>
      <c r="C33" s="113"/>
      <c r="D33" s="113"/>
      <c r="E33" s="113"/>
      <c r="F33" s="113"/>
      <c r="G33" s="112"/>
    </row>
    <row r="34" spans="1:7">
      <c r="A34" s="105" t="s">
        <v>22</v>
      </c>
    </row>
    <row r="35" spans="1:7">
      <c r="A35" s="105" t="s">
        <v>68</v>
      </c>
    </row>
    <row r="36" spans="1:7">
      <c r="A36" s="105" t="s">
        <v>157</v>
      </c>
      <c r="F36" s="105"/>
    </row>
    <row r="37" spans="1:7">
      <c r="A37" s="114" t="s">
        <v>158</v>
      </c>
    </row>
    <row r="38" spans="1:7">
      <c r="A38" s="117"/>
      <c r="F38" s="105"/>
    </row>
    <row r="39" spans="1:7" ht="13.5">
      <c r="A39" s="106" t="s">
        <v>35</v>
      </c>
      <c r="F39" s="105"/>
    </row>
    <row r="40" spans="1:7">
      <c r="F40" s="105"/>
    </row>
    <row r="47" spans="1:7">
      <c r="G47" s="107"/>
    </row>
    <row r="48" spans="1:7">
      <c r="G48" s="108"/>
    </row>
    <row r="49" spans="7:7">
      <c r="G49" s="108"/>
    </row>
    <row r="50" spans="7:7">
      <c r="G50" s="108"/>
    </row>
    <row r="51" spans="7:7">
      <c r="G51" s="104"/>
    </row>
  </sheetData>
  <mergeCells count="1">
    <mergeCell ref="A5:F5"/>
  </mergeCells>
  <pageMargins left="0.55118110236220474" right="0" top="0.98425196850393704" bottom="0" header="0" footer="0"/>
  <pageSetup paperSize="9" scale="7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9">
    <pageSetUpPr fitToPage="1"/>
  </sheetPr>
  <dimension ref="A1:W57"/>
  <sheetViews>
    <sheetView workbookViewId="0">
      <selection activeCell="D11" sqref="D11"/>
    </sheetView>
  </sheetViews>
  <sheetFormatPr defaultRowHeight="16.5"/>
  <cols>
    <col min="1" max="1" width="2" style="2" customWidth="1"/>
    <col min="2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10.85546875" style="15" hidden="1" customWidth="1"/>
    <col min="8" max="8" width="4.140625" style="15" hidden="1" customWidth="1"/>
    <col min="9" max="9" width="2.5703125" style="15" hidden="1" customWidth="1"/>
    <col min="10" max="10" width="4.140625" style="15" hidden="1" customWidth="1"/>
    <col min="11" max="11" width="4.85546875" style="15" hidden="1" customWidth="1"/>
    <col min="12" max="23" width="10.140625" style="2" bestFit="1" customWidth="1"/>
    <col min="24" max="256" width="9.140625" style="2"/>
    <col min="257" max="257" width="2" style="2" customWidth="1"/>
    <col min="258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7" width="0" style="2" hidden="1" customWidth="1"/>
    <col min="268" max="279" width="9.42578125" style="2" customWidth="1"/>
    <col min="280" max="512" width="9.140625" style="2"/>
    <col min="513" max="513" width="2" style="2" customWidth="1"/>
    <col min="514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23" width="0" style="2" hidden="1" customWidth="1"/>
    <col min="524" max="535" width="9.42578125" style="2" customWidth="1"/>
    <col min="536" max="768" width="9.140625" style="2"/>
    <col min="769" max="769" width="2" style="2" customWidth="1"/>
    <col min="770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9" width="0" style="2" hidden="1" customWidth="1"/>
    <col min="780" max="791" width="9.42578125" style="2" customWidth="1"/>
    <col min="792" max="1024" width="9.140625" style="2"/>
    <col min="1025" max="1025" width="2" style="2" customWidth="1"/>
    <col min="1026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5" width="0" style="2" hidden="1" customWidth="1"/>
    <col min="1036" max="1047" width="9.42578125" style="2" customWidth="1"/>
    <col min="1048" max="1280" width="9.140625" style="2"/>
    <col min="1281" max="1281" width="2" style="2" customWidth="1"/>
    <col min="1282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91" width="0" style="2" hidden="1" customWidth="1"/>
    <col min="1292" max="1303" width="9.42578125" style="2" customWidth="1"/>
    <col min="1304" max="1536" width="9.140625" style="2"/>
    <col min="1537" max="1537" width="2" style="2" customWidth="1"/>
    <col min="1538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7" width="0" style="2" hidden="1" customWidth="1"/>
    <col min="1548" max="1559" width="9.42578125" style="2" customWidth="1"/>
    <col min="1560" max="1792" width="9.140625" style="2"/>
    <col min="1793" max="1793" width="2" style="2" customWidth="1"/>
    <col min="1794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803" width="0" style="2" hidden="1" customWidth="1"/>
    <col min="1804" max="1815" width="9.42578125" style="2" customWidth="1"/>
    <col min="1816" max="2048" width="9.140625" style="2"/>
    <col min="2049" max="2049" width="2" style="2" customWidth="1"/>
    <col min="2050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9" width="0" style="2" hidden="1" customWidth="1"/>
    <col min="2060" max="2071" width="9.42578125" style="2" customWidth="1"/>
    <col min="2072" max="2304" width="9.140625" style="2"/>
    <col min="2305" max="2305" width="2" style="2" customWidth="1"/>
    <col min="2306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5" width="0" style="2" hidden="1" customWidth="1"/>
    <col min="2316" max="2327" width="9.42578125" style="2" customWidth="1"/>
    <col min="2328" max="2560" width="9.140625" style="2"/>
    <col min="2561" max="2561" width="2" style="2" customWidth="1"/>
    <col min="2562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71" width="0" style="2" hidden="1" customWidth="1"/>
    <col min="2572" max="2583" width="9.42578125" style="2" customWidth="1"/>
    <col min="2584" max="2816" width="9.140625" style="2"/>
    <col min="2817" max="2817" width="2" style="2" customWidth="1"/>
    <col min="2818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7" width="0" style="2" hidden="1" customWidth="1"/>
    <col min="2828" max="2839" width="9.42578125" style="2" customWidth="1"/>
    <col min="2840" max="3072" width="9.140625" style="2"/>
    <col min="3073" max="3073" width="2" style="2" customWidth="1"/>
    <col min="3074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83" width="0" style="2" hidden="1" customWidth="1"/>
    <col min="3084" max="3095" width="9.42578125" style="2" customWidth="1"/>
    <col min="3096" max="3328" width="9.140625" style="2"/>
    <col min="3329" max="3329" width="2" style="2" customWidth="1"/>
    <col min="3330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9" width="0" style="2" hidden="1" customWidth="1"/>
    <col min="3340" max="3351" width="9.42578125" style="2" customWidth="1"/>
    <col min="3352" max="3584" width="9.140625" style="2"/>
    <col min="3585" max="3585" width="2" style="2" customWidth="1"/>
    <col min="3586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5" width="0" style="2" hidden="1" customWidth="1"/>
    <col min="3596" max="3607" width="9.42578125" style="2" customWidth="1"/>
    <col min="3608" max="3840" width="9.140625" style="2"/>
    <col min="3841" max="3841" width="2" style="2" customWidth="1"/>
    <col min="3842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51" width="0" style="2" hidden="1" customWidth="1"/>
    <col min="3852" max="3863" width="9.42578125" style="2" customWidth="1"/>
    <col min="3864" max="4096" width="9.140625" style="2"/>
    <col min="4097" max="4097" width="2" style="2" customWidth="1"/>
    <col min="4098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7" width="0" style="2" hidden="1" customWidth="1"/>
    <col min="4108" max="4119" width="9.42578125" style="2" customWidth="1"/>
    <col min="4120" max="4352" width="9.140625" style="2"/>
    <col min="4353" max="4353" width="2" style="2" customWidth="1"/>
    <col min="4354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63" width="0" style="2" hidden="1" customWidth="1"/>
    <col min="4364" max="4375" width="9.42578125" style="2" customWidth="1"/>
    <col min="4376" max="4608" width="9.140625" style="2"/>
    <col min="4609" max="4609" width="2" style="2" customWidth="1"/>
    <col min="4610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9" width="0" style="2" hidden="1" customWidth="1"/>
    <col min="4620" max="4631" width="9.42578125" style="2" customWidth="1"/>
    <col min="4632" max="4864" width="9.140625" style="2"/>
    <col min="4865" max="4865" width="2" style="2" customWidth="1"/>
    <col min="4866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5" width="0" style="2" hidden="1" customWidth="1"/>
    <col min="4876" max="4887" width="9.42578125" style="2" customWidth="1"/>
    <col min="4888" max="5120" width="9.140625" style="2"/>
    <col min="5121" max="5121" width="2" style="2" customWidth="1"/>
    <col min="5122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31" width="0" style="2" hidden="1" customWidth="1"/>
    <col min="5132" max="5143" width="9.42578125" style="2" customWidth="1"/>
    <col min="5144" max="5376" width="9.140625" style="2"/>
    <col min="5377" max="5377" width="2" style="2" customWidth="1"/>
    <col min="5378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7" width="0" style="2" hidden="1" customWidth="1"/>
    <col min="5388" max="5399" width="9.42578125" style="2" customWidth="1"/>
    <col min="5400" max="5632" width="9.140625" style="2"/>
    <col min="5633" max="5633" width="2" style="2" customWidth="1"/>
    <col min="5634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43" width="0" style="2" hidden="1" customWidth="1"/>
    <col min="5644" max="5655" width="9.42578125" style="2" customWidth="1"/>
    <col min="5656" max="5888" width="9.140625" style="2"/>
    <col min="5889" max="5889" width="2" style="2" customWidth="1"/>
    <col min="5890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9" width="0" style="2" hidden="1" customWidth="1"/>
    <col min="5900" max="5911" width="9.42578125" style="2" customWidth="1"/>
    <col min="5912" max="6144" width="9.140625" style="2"/>
    <col min="6145" max="6145" width="2" style="2" customWidth="1"/>
    <col min="6146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5" width="0" style="2" hidden="1" customWidth="1"/>
    <col min="6156" max="6167" width="9.42578125" style="2" customWidth="1"/>
    <col min="6168" max="6400" width="9.140625" style="2"/>
    <col min="6401" max="6401" width="2" style="2" customWidth="1"/>
    <col min="6402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11" width="0" style="2" hidden="1" customWidth="1"/>
    <col min="6412" max="6423" width="9.42578125" style="2" customWidth="1"/>
    <col min="6424" max="6656" width="9.140625" style="2"/>
    <col min="6657" max="6657" width="2" style="2" customWidth="1"/>
    <col min="6658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7" width="0" style="2" hidden="1" customWidth="1"/>
    <col min="6668" max="6679" width="9.42578125" style="2" customWidth="1"/>
    <col min="6680" max="6912" width="9.140625" style="2"/>
    <col min="6913" max="6913" width="2" style="2" customWidth="1"/>
    <col min="6914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23" width="0" style="2" hidden="1" customWidth="1"/>
    <col min="6924" max="6935" width="9.42578125" style="2" customWidth="1"/>
    <col min="6936" max="7168" width="9.140625" style="2"/>
    <col min="7169" max="7169" width="2" style="2" customWidth="1"/>
    <col min="7170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9" width="0" style="2" hidden="1" customWidth="1"/>
    <col min="7180" max="7191" width="9.42578125" style="2" customWidth="1"/>
    <col min="7192" max="7424" width="9.140625" style="2"/>
    <col min="7425" max="7425" width="2" style="2" customWidth="1"/>
    <col min="7426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5" width="0" style="2" hidden="1" customWidth="1"/>
    <col min="7436" max="7447" width="9.42578125" style="2" customWidth="1"/>
    <col min="7448" max="7680" width="9.140625" style="2"/>
    <col min="7681" max="7681" width="2" style="2" customWidth="1"/>
    <col min="7682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91" width="0" style="2" hidden="1" customWidth="1"/>
    <col min="7692" max="7703" width="9.42578125" style="2" customWidth="1"/>
    <col min="7704" max="7936" width="9.140625" style="2"/>
    <col min="7937" max="7937" width="2" style="2" customWidth="1"/>
    <col min="7938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7" width="0" style="2" hidden="1" customWidth="1"/>
    <col min="7948" max="7959" width="9.42578125" style="2" customWidth="1"/>
    <col min="7960" max="8192" width="9.140625" style="2"/>
    <col min="8193" max="8193" width="2" style="2" customWidth="1"/>
    <col min="8194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203" width="0" style="2" hidden="1" customWidth="1"/>
    <col min="8204" max="8215" width="9.42578125" style="2" customWidth="1"/>
    <col min="8216" max="8448" width="9.140625" style="2"/>
    <col min="8449" max="8449" width="2" style="2" customWidth="1"/>
    <col min="8450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9" width="0" style="2" hidden="1" customWidth="1"/>
    <col min="8460" max="8471" width="9.42578125" style="2" customWidth="1"/>
    <col min="8472" max="8704" width="9.140625" style="2"/>
    <col min="8705" max="8705" width="2" style="2" customWidth="1"/>
    <col min="8706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5" width="0" style="2" hidden="1" customWidth="1"/>
    <col min="8716" max="8727" width="9.42578125" style="2" customWidth="1"/>
    <col min="8728" max="8960" width="9.140625" style="2"/>
    <col min="8961" max="8961" width="2" style="2" customWidth="1"/>
    <col min="8962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71" width="0" style="2" hidden="1" customWidth="1"/>
    <col min="8972" max="8983" width="9.42578125" style="2" customWidth="1"/>
    <col min="8984" max="9216" width="9.140625" style="2"/>
    <col min="9217" max="9217" width="2" style="2" customWidth="1"/>
    <col min="9218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7" width="0" style="2" hidden="1" customWidth="1"/>
    <col min="9228" max="9239" width="9.42578125" style="2" customWidth="1"/>
    <col min="9240" max="9472" width="9.140625" style="2"/>
    <col min="9473" max="9473" width="2" style="2" customWidth="1"/>
    <col min="9474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83" width="0" style="2" hidden="1" customWidth="1"/>
    <col min="9484" max="9495" width="9.42578125" style="2" customWidth="1"/>
    <col min="9496" max="9728" width="9.140625" style="2"/>
    <col min="9729" max="9729" width="2" style="2" customWidth="1"/>
    <col min="9730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9" width="0" style="2" hidden="1" customWidth="1"/>
    <col min="9740" max="9751" width="9.42578125" style="2" customWidth="1"/>
    <col min="9752" max="9984" width="9.140625" style="2"/>
    <col min="9985" max="9985" width="2" style="2" customWidth="1"/>
    <col min="9986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5" width="0" style="2" hidden="1" customWidth="1"/>
    <col min="9996" max="10007" width="9.42578125" style="2" customWidth="1"/>
    <col min="10008" max="10240" width="9.140625" style="2"/>
    <col min="10241" max="10241" width="2" style="2" customWidth="1"/>
    <col min="10242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51" width="0" style="2" hidden="1" customWidth="1"/>
    <col min="10252" max="10263" width="9.42578125" style="2" customWidth="1"/>
    <col min="10264" max="10496" width="9.140625" style="2"/>
    <col min="10497" max="10497" width="2" style="2" customWidth="1"/>
    <col min="10498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7" width="0" style="2" hidden="1" customWidth="1"/>
    <col min="10508" max="10519" width="9.42578125" style="2" customWidth="1"/>
    <col min="10520" max="10752" width="9.140625" style="2"/>
    <col min="10753" max="10753" width="2" style="2" customWidth="1"/>
    <col min="10754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63" width="0" style="2" hidden="1" customWidth="1"/>
    <col min="10764" max="10775" width="9.42578125" style="2" customWidth="1"/>
    <col min="10776" max="11008" width="9.140625" style="2"/>
    <col min="11009" max="11009" width="2" style="2" customWidth="1"/>
    <col min="11010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9" width="0" style="2" hidden="1" customWidth="1"/>
    <col min="11020" max="11031" width="9.42578125" style="2" customWidth="1"/>
    <col min="11032" max="11264" width="9.140625" style="2"/>
    <col min="11265" max="11265" width="2" style="2" customWidth="1"/>
    <col min="11266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5" width="0" style="2" hidden="1" customWidth="1"/>
    <col min="11276" max="11287" width="9.42578125" style="2" customWidth="1"/>
    <col min="11288" max="11520" width="9.140625" style="2"/>
    <col min="11521" max="11521" width="2" style="2" customWidth="1"/>
    <col min="11522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31" width="0" style="2" hidden="1" customWidth="1"/>
    <col min="11532" max="11543" width="9.42578125" style="2" customWidth="1"/>
    <col min="11544" max="11776" width="9.140625" style="2"/>
    <col min="11777" max="11777" width="2" style="2" customWidth="1"/>
    <col min="11778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7" width="0" style="2" hidden="1" customWidth="1"/>
    <col min="11788" max="11799" width="9.42578125" style="2" customWidth="1"/>
    <col min="11800" max="12032" width="9.140625" style="2"/>
    <col min="12033" max="12033" width="2" style="2" customWidth="1"/>
    <col min="12034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43" width="0" style="2" hidden="1" customWidth="1"/>
    <col min="12044" max="12055" width="9.42578125" style="2" customWidth="1"/>
    <col min="12056" max="12288" width="9.140625" style="2"/>
    <col min="12289" max="12289" width="2" style="2" customWidth="1"/>
    <col min="12290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9" width="0" style="2" hidden="1" customWidth="1"/>
    <col min="12300" max="12311" width="9.42578125" style="2" customWidth="1"/>
    <col min="12312" max="12544" width="9.140625" style="2"/>
    <col min="12545" max="12545" width="2" style="2" customWidth="1"/>
    <col min="12546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5" width="0" style="2" hidden="1" customWidth="1"/>
    <col min="12556" max="12567" width="9.42578125" style="2" customWidth="1"/>
    <col min="12568" max="12800" width="9.140625" style="2"/>
    <col min="12801" max="12801" width="2" style="2" customWidth="1"/>
    <col min="12802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11" width="0" style="2" hidden="1" customWidth="1"/>
    <col min="12812" max="12823" width="9.42578125" style="2" customWidth="1"/>
    <col min="12824" max="13056" width="9.140625" style="2"/>
    <col min="13057" max="13057" width="2" style="2" customWidth="1"/>
    <col min="13058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7" width="0" style="2" hidden="1" customWidth="1"/>
    <col min="13068" max="13079" width="9.42578125" style="2" customWidth="1"/>
    <col min="13080" max="13312" width="9.140625" style="2"/>
    <col min="13313" max="13313" width="2" style="2" customWidth="1"/>
    <col min="13314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23" width="0" style="2" hidden="1" customWidth="1"/>
    <col min="13324" max="13335" width="9.42578125" style="2" customWidth="1"/>
    <col min="13336" max="13568" width="9.140625" style="2"/>
    <col min="13569" max="13569" width="2" style="2" customWidth="1"/>
    <col min="13570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9" width="0" style="2" hidden="1" customWidth="1"/>
    <col min="13580" max="13591" width="9.42578125" style="2" customWidth="1"/>
    <col min="13592" max="13824" width="9.140625" style="2"/>
    <col min="13825" max="13825" width="2" style="2" customWidth="1"/>
    <col min="13826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5" width="0" style="2" hidden="1" customWidth="1"/>
    <col min="13836" max="13847" width="9.42578125" style="2" customWidth="1"/>
    <col min="13848" max="14080" width="9.140625" style="2"/>
    <col min="14081" max="14081" width="2" style="2" customWidth="1"/>
    <col min="14082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91" width="0" style="2" hidden="1" customWidth="1"/>
    <col min="14092" max="14103" width="9.42578125" style="2" customWidth="1"/>
    <col min="14104" max="14336" width="9.140625" style="2"/>
    <col min="14337" max="14337" width="2" style="2" customWidth="1"/>
    <col min="14338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7" width="0" style="2" hidden="1" customWidth="1"/>
    <col min="14348" max="14359" width="9.42578125" style="2" customWidth="1"/>
    <col min="14360" max="14592" width="9.140625" style="2"/>
    <col min="14593" max="14593" width="2" style="2" customWidth="1"/>
    <col min="14594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603" width="0" style="2" hidden="1" customWidth="1"/>
    <col min="14604" max="14615" width="9.42578125" style="2" customWidth="1"/>
    <col min="14616" max="14848" width="9.140625" style="2"/>
    <col min="14849" max="14849" width="2" style="2" customWidth="1"/>
    <col min="14850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9" width="0" style="2" hidden="1" customWidth="1"/>
    <col min="14860" max="14871" width="9.42578125" style="2" customWidth="1"/>
    <col min="14872" max="15104" width="9.140625" style="2"/>
    <col min="15105" max="15105" width="2" style="2" customWidth="1"/>
    <col min="15106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5" width="0" style="2" hidden="1" customWidth="1"/>
    <col min="15116" max="15127" width="9.42578125" style="2" customWidth="1"/>
    <col min="15128" max="15360" width="9.140625" style="2"/>
    <col min="15361" max="15361" width="2" style="2" customWidth="1"/>
    <col min="15362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71" width="0" style="2" hidden="1" customWidth="1"/>
    <col min="15372" max="15383" width="9.42578125" style="2" customWidth="1"/>
    <col min="15384" max="15616" width="9.140625" style="2"/>
    <col min="15617" max="15617" width="2" style="2" customWidth="1"/>
    <col min="15618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7" width="0" style="2" hidden="1" customWidth="1"/>
    <col min="15628" max="15639" width="9.42578125" style="2" customWidth="1"/>
    <col min="15640" max="15872" width="9.140625" style="2"/>
    <col min="15873" max="15873" width="2" style="2" customWidth="1"/>
    <col min="15874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83" width="0" style="2" hidden="1" customWidth="1"/>
    <col min="15884" max="15895" width="9.42578125" style="2" customWidth="1"/>
    <col min="15896" max="16128" width="9.140625" style="2"/>
    <col min="16129" max="16129" width="2" style="2" customWidth="1"/>
    <col min="16130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9" width="0" style="2" hidden="1" customWidth="1"/>
    <col min="16140" max="16151" width="9.42578125" style="2" customWidth="1"/>
    <col min="16152" max="16384" width="9.140625" style="2"/>
  </cols>
  <sheetData>
    <row r="1" spans="1:23">
      <c r="A1" s="1" t="s">
        <v>25</v>
      </c>
    </row>
    <row r="2" spans="1:23">
      <c r="A2" s="1" t="s">
        <v>72</v>
      </c>
      <c r="F2" s="1" t="s">
        <v>35</v>
      </c>
    </row>
    <row r="3" spans="1:23">
      <c r="A3" s="2" t="s">
        <v>0</v>
      </c>
      <c r="L3" s="2" t="s">
        <v>35</v>
      </c>
    </row>
    <row r="4" spans="1:23" ht="12" customHeight="1">
      <c r="M4" s="9"/>
    </row>
    <row r="5" spans="1:23" ht="18" customHeight="1">
      <c r="A5" s="177" t="s">
        <v>1</v>
      </c>
      <c r="B5" s="178"/>
      <c r="C5" s="178"/>
      <c r="D5" s="178"/>
      <c r="E5" s="178"/>
      <c r="F5" s="178"/>
      <c r="G5" s="76" t="s">
        <v>28</v>
      </c>
      <c r="H5" s="76" t="s">
        <v>29</v>
      </c>
      <c r="I5" s="76" t="s">
        <v>39</v>
      </c>
      <c r="J5" s="76" t="s">
        <v>31</v>
      </c>
      <c r="K5" s="76" t="s">
        <v>32</v>
      </c>
      <c r="L5" s="77" t="s">
        <v>5</v>
      </c>
      <c r="M5" s="76" t="s">
        <v>23</v>
      </c>
      <c r="N5" s="77" t="s">
        <v>24</v>
      </c>
      <c r="O5" s="77" t="s">
        <v>26</v>
      </c>
      <c r="P5" s="77" t="s">
        <v>27</v>
      </c>
      <c r="Q5" s="77" t="s">
        <v>36</v>
      </c>
      <c r="R5" s="77" t="s">
        <v>28</v>
      </c>
      <c r="S5" s="77" t="s">
        <v>29</v>
      </c>
      <c r="T5" s="77" t="s">
        <v>39</v>
      </c>
      <c r="U5" s="77" t="s">
        <v>31</v>
      </c>
      <c r="V5" s="77" t="s">
        <v>32</v>
      </c>
      <c r="W5" s="78" t="s">
        <v>33</v>
      </c>
    </row>
    <row r="6" spans="1:23" ht="9" customHeight="1"/>
    <row r="7" spans="1:23">
      <c r="A7" s="1" t="s">
        <v>17</v>
      </c>
      <c r="E7" s="1"/>
      <c r="G7" s="41">
        <v>0</v>
      </c>
      <c r="H7" s="41" t="e">
        <v>#REF!</v>
      </c>
      <c r="I7" s="41" t="e">
        <v>#REF!</v>
      </c>
      <c r="J7" s="41" t="e">
        <v>#REF!</v>
      </c>
      <c r="K7" s="41" t="e">
        <v>#REF!</v>
      </c>
      <c r="L7" s="41">
        <v>3810357.6696000001</v>
      </c>
      <c r="M7" s="41">
        <v>3884508</v>
      </c>
      <c r="N7" s="41">
        <v>3868972</v>
      </c>
      <c r="O7" s="41">
        <v>3867077</v>
      </c>
      <c r="P7" s="41">
        <v>3888808.2911999999</v>
      </c>
      <c r="Q7" s="41">
        <v>3891032</v>
      </c>
      <c r="R7" s="41">
        <v>3931896.3029999998</v>
      </c>
      <c r="S7" s="41">
        <v>3941774.017</v>
      </c>
      <c r="T7" s="41">
        <v>4018868.36</v>
      </c>
      <c r="U7" s="41">
        <v>3951689</v>
      </c>
      <c r="V7" s="41">
        <v>3910569</v>
      </c>
      <c r="W7" s="41">
        <v>3888231</v>
      </c>
    </row>
    <row r="8" spans="1:23" ht="7.5" customHeight="1"/>
    <row r="9" spans="1:23">
      <c r="A9" s="1"/>
      <c r="B9" s="1" t="s">
        <v>59</v>
      </c>
      <c r="C9" s="1"/>
      <c r="D9" s="1"/>
      <c r="E9" s="1"/>
      <c r="F9" s="1"/>
      <c r="G9" s="1"/>
      <c r="H9" s="13" t="e">
        <v>#REF!</v>
      </c>
      <c r="I9" s="13" t="e">
        <v>#REF!</v>
      </c>
      <c r="J9" s="13" t="e">
        <v>#REF!</v>
      </c>
      <c r="K9" s="13" t="e">
        <v>#REF!</v>
      </c>
      <c r="L9" s="13">
        <v>2037207</v>
      </c>
      <c r="M9" s="13">
        <v>2061747</v>
      </c>
      <c r="N9" s="13">
        <v>2059465</v>
      </c>
      <c r="O9" s="13">
        <v>2064227</v>
      </c>
      <c r="P9" s="13">
        <v>2062588</v>
      </c>
      <c r="Q9" s="13">
        <v>2034992</v>
      </c>
      <c r="R9" s="13">
        <v>2080779</v>
      </c>
      <c r="S9" s="13">
        <v>2105547</v>
      </c>
      <c r="T9" s="13">
        <v>2144468</v>
      </c>
      <c r="U9" s="13">
        <v>2146545</v>
      </c>
      <c r="V9" s="13">
        <v>2162574</v>
      </c>
      <c r="W9" s="13">
        <v>2164293</v>
      </c>
    </row>
    <row r="10" spans="1:23">
      <c r="C10" s="2" t="s">
        <v>9</v>
      </c>
      <c r="G10" s="14" t="e">
        <v>#REF!</v>
      </c>
      <c r="H10" s="14" t="e">
        <v>#REF!</v>
      </c>
      <c r="I10" s="14" t="e">
        <v>#REF!</v>
      </c>
      <c r="J10" s="14" t="e">
        <v>#REF!</v>
      </c>
      <c r="K10" s="14" t="e">
        <v>#REF!</v>
      </c>
      <c r="L10" s="14">
        <v>2034913</v>
      </c>
      <c r="M10" s="14">
        <v>2059453</v>
      </c>
      <c r="N10" s="14">
        <v>2057171</v>
      </c>
      <c r="O10" s="14">
        <v>2061933</v>
      </c>
      <c r="P10" s="14">
        <v>2060294</v>
      </c>
      <c r="Q10" s="14">
        <v>2032698</v>
      </c>
      <c r="R10" s="14">
        <v>2078485</v>
      </c>
      <c r="S10" s="14">
        <v>2103253</v>
      </c>
      <c r="T10" s="14">
        <v>2142174</v>
      </c>
      <c r="U10" s="14">
        <v>2144251</v>
      </c>
      <c r="V10" s="14">
        <v>2160280</v>
      </c>
      <c r="W10" s="14">
        <v>2161999</v>
      </c>
    </row>
    <row r="11" spans="1:23">
      <c r="D11" s="2" t="s">
        <v>88</v>
      </c>
      <c r="G11" s="14" t="e">
        <v>#REF!</v>
      </c>
      <c r="H11" s="14" t="e">
        <v>#REF!</v>
      </c>
      <c r="I11" s="14" t="e">
        <v>#REF!</v>
      </c>
      <c r="J11" s="14" t="e">
        <v>#REF!</v>
      </c>
      <c r="K11" s="14" t="e">
        <v>#REF!</v>
      </c>
      <c r="L11" s="15">
        <v>2006613</v>
      </c>
      <c r="M11" s="15">
        <v>2031156</v>
      </c>
      <c r="N11" s="15">
        <v>2028913</v>
      </c>
      <c r="O11" s="15">
        <v>2033687</v>
      </c>
      <c r="P11" s="15">
        <v>2032048</v>
      </c>
      <c r="Q11" s="15">
        <v>2004449</v>
      </c>
      <c r="R11" s="15">
        <v>2050236</v>
      </c>
      <c r="S11" s="15">
        <v>2075003</v>
      </c>
      <c r="T11" s="15">
        <v>2113925</v>
      </c>
      <c r="U11" s="15">
        <v>2116004</v>
      </c>
      <c r="V11" s="15">
        <v>2132035</v>
      </c>
      <c r="W11" s="15">
        <v>2134146</v>
      </c>
    </row>
    <row r="12" spans="1:23">
      <c r="D12" s="2" t="s">
        <v>2</v>
      </c>
      <c r="L12" s="15">
        <v>28300</v>
      </c>
      <c r="M12" s="15">
        <v>28297</v>
      </c>
      <c r="N12" s="15">
        <v>28258</v>
      </c>
      <c r="O12" s="15">
        <v>28246</v>
      </c>
      <c r="P12" s="15">
        <v>28246</v>
      </c>
      <c r="Q12" s="15">
        <v>28249</v>
      </c>
      <c r="R12" s="15">
        <v>28249</v>
      </c>
      <c r="S12" s="15">
        <v>28250</v>
      </c>
      <c r="T12" s="15">
        <v>28249</v>
      </c>
      <c r="U12" s="15">
        <v>28247</v>
      </c>
      <c r="V12" s="15">
        <v>28245</v>
      </c>
      <c r="W12" s="15">
        <v>27853</v>
      </c>
    </row>
    <row r="13" spans="1:23">
      <c r="D13" s="2" t="s">
        <v>3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ht="7.5" customHeight="1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C15" s="2" t="s">
        <v>60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2294</v>
      </c>
      <c r="M15" s="14">
        <v>2294</v>
      </c>
      <c r="N15" s="14">
        <v>2294</v>
      </c>
      <c r="O15" s="14">
        <v>2294</v>
      </c>
      <c r="P15" s="14">
        <v>2294</v>
      </c>
      <c r="Q15" s="14">
        <v>2294</v>
      </c>
      <c r="R15" s="14">
        <v>2294</v>
      </c>
      <c r="S15" s="14">
        <v>2294</v>
      </c>
      <c r="T15" s="14">
        <v>2294</v>
      </c>
      <c r="U15" s="14">
        <v>2294</v>
      </c>
      <c r="V15" s="14">
        <v>2294</v>
      </c>
      <c r="W15" s="14">
        <v>2294</v>
      </c>
    </row>
    <row r="16" spans="1:23" hidden="1">
      <c r="D16" s="2" t="s">
        <v>12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>
      <c r="D17" s="2" t="s">
        <v>13</v>
      </c>
      <c r="L17" s="15">
        <v>2288</v>
      </c>
      <c r="M17" s="15">
        <v>2288</v>
      </c>
      <c r="N17" s="15">
        <v>2288</v>
      </c>
      <c r="O17" s="15">
        <v>2288</v>
      </c>
      <c r="P17" s="15">
        <v>2288</v>
      </c>
      <c r="Q17" s="15">
        <v>2288</v>
      </c>
      <c r="R17" s="15">
        <v>2288</v>
      </c>
      <c r="S17" s="15">
        <v>2288</v>
      </c>
      <c r="T17" s="15">
        <v>2288</v>
      </c>
      <c r="U17" s="15">
        <v>2288</v>
      </c>
      <c r="V17" s="15">
        <v>2288</v>
      </c>
      <c r="W17" s="15">
        <v>2288</v>
      </c>
    </row>
    <row r="18" spans="1:23" hidden="1">
      <c r="D18" s="2" t="s">
        <v>14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>
      <c r="D19" s="2" t="s">
        <v>15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  <c r="R19" s="15">
        <v>6</v>
      </c>
      <c r="S19" s="15">
        <v>6</v>
      </c>
      <c r="T19" s="15">
        <v>6</v>
      </c>
      <c r="U19" s="15">
        <v>6</v>
      </c>
      <c r="V19" s="15">
        <v>6</v>
      </c>
      <c r="W19" s="15">
        <v>6</v>
      </c>
    </row>
    <row r="20" spans="1:23" ht="7.5" customHeight="1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"/>
      <c r="B21" s="1" t="s">
        <v>125</v>
      </c>
      <c r="C21" s="1"/>
      <c r="D21" s="1"/>
      <c r="E21" s="1"/>
      <c r="F21" s="1"/>
      <c r="G21" s="1"/>
      <c r="H21" s="13" t="e">
        <v>#REF!</v>
      </c>
      <c r="I21" s="13" t="e">
        <v>#REF!</v>
      </c>
      <c r="J21" s="13" t="e">
        <v>#REF!</v>
      </c>
      <c r="K21" s="13" t="e">
        <v>#REF!</v>
      </c>
      <c r="L21" s="13">
        <v>1773150.6696000001</v>
      </c>
      <c r="M21" s="13">
        <v>1822761</v>
      </c>
      <c r="N21" s="13">
        <v>1809507</v>
      </c>
      <c r="O21" s="13">
        <v>1802850</v>
      </c>
      <c r="P21" s="13">
        <v>1826220.2911999999</v>
      </c>
      <c r="Q21" s="13">
        <v>1856040</v>
      </c>
      <c r="R21" s="13">
        <v>1851117.3029999998</v>
      </c>
      <c r="S21" s="13">
        <v>1836227.017</v>
      </c>
      <c r="T21" s="13">
        <v>1874400.3599999999</v>
      </c>
      <c r="U21" s="13">
        <v>1805144</v>
      </c>
      <c r="V21" s="13">
        <v>1747995</v>
      </c>
      <c r="W21" s="13">
        <v>1723938</v>
      </c>
    </row>
    <row r="22" spans="1:23">
      <c r="C22" s="2" t="s">
        <v>9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827364</v>
      </c>
      <c r="M22" s="14">
        <v>810982</v>
      </c>
      <c r="N22" s="14">
        <v>801890</v>
      </c>
      <c r="O22" s="14">
        <v>802071</v>
      </c>
      <c r="P22" s="14">
        <v>788455</v>
      </c>
      <c r="Q22" s="14">
        <v>794274</v>
      </c>
      <c r="R22" s="14">
        <v>790662.446</v>
      </c>
      <c r="S22" s="14">
        <v>791543</v>
      </c>
      <c r="T22" s="14">
        <v>779985</v>
      </c>
      <c r="U22" s="14">
        <v>741159</v>
      </c>
      <c r="V22" s="14">
        <v>708262</v>
      </c>
      <c r="W22" s="14">
        <v>703590</v>
      </c>
    </row>
    <row r="23" spans="1:23">
      <c r="D23" s="2" t="s">
        <v>2</v>
      </c>
      <c r="L23" s="15">
        <v>707787</v>
      </c>
      <c r="M23" s="15">
        <v>693874</v>
      </c>
      <c r="N23" s="15">
        <v>685824</v>
      </c>
      <c r="O23" s="15">
        <v>685435</v>
      </c>
      <c r="P23" s="15">
        <v>674230</v>
      </c>
      <c r="Q23" s="15">
        <v>680430</v>
      </c>
      <c r="R23" s="15">
        <v>676641.446</v>
      </c>
      <c r="S23" s="15">
        <v>676931</v>
      </c>
      <c r="T23" s="15">
        <v>667691</v>
      </c>
      <c r="U23" s="15">
        <v>632753</v>
      </c>
      <c r="V23" s="15">
        <v>605749</v>
      </c>
      <c r="W23" s="15">
        <v>601967</v>
      </c>
    </row>
    <row r="24" spans="1:23">
      <c r="D24" s="2" t="s">
        <v>3</v>
      </c>
      <c r="L24" s="15">
        <v>119577</v>
      </c>
      <c r="M24" s="15">
        <v>117108</v>
      </c>
      <c r="N24" s="15">
        <v>116066</v>
      </c>
      <c r="O24" s="15">
        <v>116636</v>
      </c>
      <c r="P24" s="15">
        <v>114225</v>
      </c>
      <c r="Q24" s="15">
        <v>113844</v>
      </c>
      <c r="R24" s="15">
        <v>114021</v>
      </c>
      <c r="S24" s="15">
        <v>114612</v>
      </c>
      <c r="T24" s="15">
        <v>112294</v>
      </c>
      <c r="U24" s="15">
        <v>108406</v>
      </c>
      <c r="V24" s="15">
        <v>102513</v>
      </c>
      <c r="W24" s="15">
        <v>101623</v>
      </c>
    </row>
    <row r="25" spans="1:23" ht="7.5" customHeight="1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C26" s="2" t="s">
        <v>60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4574.6696000000002</v>
      </c>
      <c r="M26" s="14">
        <v>4539</v>
      </c>
      <c r="N26" s="14">
        <v>4532</v>
      </c>
      <c r="O26" s="14">
        <v>4481</v>
      </c>
      <c r="P26" s="14">
        <v>4474.2911999999997</v>
      </c>
      <c r="Q26" s="14">
        <v>4601</v>
      </c>
      <c r="R26" s="14">
        <v>3490.857</v>
      </c>
      <c r="S26" s="14">
        <v>3499.0169999999998</v>
      </c>
      <c r="T26" s="14">
        <v>3483.3599999999997</v>
      </c>
      <c r="U26" s="14">
        <v>3421</v>
      </c>
      <c r="V26" s="14">
        <v>3323</v>
      </c>
      <c r="W26" s="14">
        <v>3266</v>
      </c>
    </row>
    <row r="27" spans="1:23">
      <c r="D27" s="2" t="s">
        <v>61</v>
      </c>
      <c r="L27" s="15">
        <v>32</v>
      </c>
      <c r="M27" s="15">
        <v>31</v>
      </c>
      <c r="N27" s="15">
        <v>31</v>
      </c>
      <c r="O27" s="15">
        <v>31</v>
      </c>
      <c r="P27" s="15">
        <v>31.171199999999995</v>
      </c>
      <c r="Q27" s="15">
        <v>32</v>
      </c>
      <c r="R27" s="15">
        <v>24.125</v>
      </c>
      <c r="S27" s="15">
        <v>24.125</v>
      </c>
      <c r="T27" s="15">
        <v>24.08</v>
      </c>
      <c r="U27" s="15">
        <v>24</v>
      </c>
      <c r="V27" s="15">
        <v>23</v>
      </c>
      <c r="W27" s="15">
        <v>23</v>
      </c>
    </row>
    <row r="28" spans="1:23">
      <c r="D28" s="2" t="s">
        <v>62</v>
      </c>
      <c r="L28" s="15">
        <v>784</v>
      </c>
      <c r="M28" s="15">
        <v>776</v>
      </c>
      <c r="N28" s="15">
        <v>771</v>
      </c>
      <c r="O28" s="15">
        <v>769</v>
      </c>
      <c r="P28" s="15">
        <v>764.10239999999999</v>
      </c>
      <c r="Q28" s="15">
        <v>781</v>
      </c>
      <c r="R28" s="15">
        <v>590.84</v>
      </c>
      <c r="S28" s="15">
        <v>593</v>
      </c>
      <c r="T28" s="15">
        <v>589</v>
      </c>
      <c r="U28" s="15">
        <v>576</v>
      </c>
      <c r="V28" s="15">
        <v>559</v>
      </c>
      <c r="W28" s="15">
        <v>552</v>
      </c>
    </row>
    <row r="29" spans="1:23">
      <c r="D29" s="2" t="s">
        <v>63</v>
      </c>
      <c r="L29" s="15">
        <v>3553.866</v>
      </c>
      <c r="M29" s="15">
        <v>3527</v>
      </c>
      <c r="N29" s="15">
        <v>3526</v>
      </c>
      <c r="O29" s="15">
        <v>3504</v>
      </c>
      <c r="P29" s="15">
        <v>3502.8704000000002</v>
      </c>
      <c r="Q29" s="15">
        <v>3608</v>
      </c>
      <c r="R29" s="15">
        <v>2707</v>
      </c>
      <c r="S29" s="15">
        <v>2713</v>
      </c>
      <c r="T29" s="15">
        <v>2702.3919999999998</v>
      </c>
      <c r="U29" s="15">
        <v>2656</v>
      </c>
      <c r="V29" s="15">
        <v>2604</v>
      </c>
      <c r="W29" s="15">
        <v>2561</v>
      </c>
    </row>
    <row r="30" spans="1:23">
      <c r="D30" s="2" t="s">
        <v>64</v>
      </c>
      <c r="L30" s="15">
        <v>177.80360000000002</v>
      </c>
      <c r="M30" s="15">
        <v>177</v>
      </c>
      <c r="N30" s="15">
        <v>176</v>
      </c>
      <c r="O30" s="15">
        <v>150</v>
      </c>
      <c r="P30" s="15">
        <v>149.16479999999999</v>
      </c>
      <c r="Q30" s="15">
        <v>152</v>
      </c>
      <c r="R30" s="15">
        <v>147.892</v>
      </c>
      <c r="S30" s="15">
        <v>147.892</v>
      </c>
      <c r="T30" s="15">
        <v>147.33599999999998</v>
      </c>
      <c r="U30" s="15">
        <v>145</v>
      </c>
      <c r="V30" s="15">
        <v>117</v>
      </c>
      <c r="W30" s="15">
        <v>111</v>
      </c>
    </row>
    <row r="31" spans="1:23">
      <c r="D31" s="2" t="s">
        <v>65</v>
      </c>
      <c r="L31" s="15">
        <v>27</v>
      </c>
      <c r="M31" s="15">
        <v>28</v>
      </c>
      <c r="N31" s="15">
        <v>28</v>
      </c>
      <c r="O31" s="15">
        <v>27</v>
      </c>
      <c r="P31" s="15">
        <v>26.982399999999998</v>
      </c>
      <c r="Q31" s="15">
        <v>28</v>
      </c>
      <c r="R31" s="15">
        <v>21</v>
      </c>
      <c r="S31" s="15">
        <v>21</v>
      </c>
      <c r="T31" s="15">
        <v>20.552</v>
      </c>
      <c r="U31" s="15">
        <v>20</v>
      </c>
      <c r="V31" s="15">
        <v>20</v>
      </c>
      <c r="W31" s="15">
        <v>19</v>
      </c>
    </row>
    <row r="32" spans="1:23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C33" s="2" t="s">
        <v>66</v>
      </c>
      <c r="L33" s="15">
        <v>941212</v>
      </c>
      <c r="M33" s="15">
        <v>1007240</v>
      </c>
      <c r="N33" s="15">
        <v>1003085</v>
      </c>
      <c r="O33" s="15">
        <v>996298</v>
      </c>
      <c r="P33" s="15">
        <v>1033291</v>
      </c>
      <c r="Q33" s="15">
        <v>1057165</v>
      </c>
      <c r="R33" s="15">
        <v>1056964</v>
      </c>
      <c r="S33" s="15">
        <v>1041185</v>
      </c>
      <c r="T33" s="15">
        <v>1090932</v>
      </c>
      <c r="U33" s="15">
        <v>1060564</v>
      </c>
      <c r="V33" s="15">
        <v>1036410</v>
      </c>
      <c r="W33" s="15">
        <v>1017082</v>
      </c>
    </row>
    <row r="34" spans="1:23">
      <c r="A34" s="9"/>
      <c r="B34" s="9"/>
      <c r="C34" s="9"/>
      <c r="D34" s="9"/>
      <c r="E34" s="9"/>
      <c r="F34" s="9"/>
    </row>
    <row r="35" spans="1:23">
      <c r="A35" s="2" t="s">
        <v>67</v>
      </c>
    </row>
    <row r="36" spans="1:23">
      <c r="A36" s="1"/>
    </row>
    <row r="37" spans="1:23">
      <c r="A37" s="79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>
        <v>55.15</v>
      </c>
      <c r="M37" s="79">
        <v>54.75</v>
      </c>
      <c r="N37" s="79">
        <v>54.75</v>
      </c>
      <c r="O37" s="79">
        <v>54.4</v>
      </c>
      <c r="P37" s="79">
        <v>54.4</v>
      </c>
      <c r="Q37" s="79">
        <v>56.05</v>
      </c>
      <c r="R37" s="79">
        <v>56.1</v>
      </c>
      <c r="S37" s="79">
        <v>56.2</v>
      </c>
      <c r="T37" s="79">
        <v>56</v>
      </c>
      <c r="U37" s="79">
        <v>55.05</v>
      </c>
      <c r="V37" s="79">
        <v>54</v>
      </c>
      <c r="W37" s="79">
        <v>53.1</v>
      </c>
    </row>
    <row r="38" spans="1:2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</row>
    <row r="39" spans="1:23">
      <c r="A39" s="11" t="s">
        <v>22</v>
      </c>
      <c r="G39" s="2"/>
      <c r="H39" s="2"/>
      <c r="I39" s="2"/>
      <c r="J39" s="2"/>
      <c r="K39" s="2"/>
    </row>
    <row r="40" spans="1:23">
      <c r="A40" s="11" t="s">
        <v>68</v>
      </c>
      <c r="G40" s="2"/>
      <c r="H40" s="2"/>
      <c r="I40" s="2"/>
      <c r="J40" s="2"/>
      <c r="K40" s="2"/>
    </row>
    <row r="41" spans="1:23">
      <c r="A41" s="11" t="s">
        <v>73</v>
      </c>
      <c r="G41" s="2"/>
      <c r="H41" s="2"/>
      <c r="I41" s="2"/>
      <c r="J41" s="2"/>
      <c r="K41" s="2"/>
    </row>
    <row r="42" spans="1:2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</row>
    <row r="43" spans="1:23">
      <c r="A43" s="11"/>
      <c r="F43" s="11"/>
    </row>
    <row r="44" spans="1:23">
      <c r="F44" s="11"/>
    </row>
    <row r="45" spans="1:23">
      <c r="A45" s="11" t="s">
        <v>35</v>
      </c>
      <c r="F45" s="11"/>
    </row>
    <row r="46" spans="1:23">
      <c r="F46" s="11"/>
    </row>
    <row r="53" spans="12:12">
      <c r="L53" s="79"/>
    </row>
    <row r="54" spans="12:12">
      <c r="L54" s="11"/>
    </row>
    <row r="55" spans="12:12">
      <c r="L55" s="11"/>
    </row>
    <row r="56" spans="12:12">
      <c r="L56" s="11"/>
    </row>
    <row r="57" spans="12:12">
      <c r="L57" s="15"/>
    </row>
  </sheetData>
  <mergeCells count="1">
    <mergeCell ref="A5:F5"/>
  </mergeCells>
  <pageMargins left="0.55118110236220474" right="0" top="0.78740157480314965" bottom="0" header="0" footer="0"/>
  <pageSetup paperSize="9" scale="67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F58F-3155-4C2C-BD48-606D0714EE51}">
  <sheetPr>
    <pageSetUpPr fitToPage="1"/>
  </sheetPr>
  <dimension ref="A1:R51"/>
  <sheetViews>
    <sheetView workbookViewId="0">
      <selection activeCell="G17" sqref="G17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6.42578125" style="2" customWidth="1"/>
    <col min="7" max="7" width="9.42578125" style="2" customWidth="1"/>
    <col min="8" max="8" width="9.28515625" style="2" customWidth="1"/>
    <col min="9" max="14" width="9.42578125" style="2" customWidth="1"/>
    <col min="15" max="15" width="9.140625" style="2"/>
    <col min="16" max="17" width="9.42578125" style="2" customWidth="1"/>
    <col min="1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6.42578125" style="2" customWidth="1"/>
    <col min="263" max="263" width="9.42578125" style="2" customWidth="1"/>
    <col min="264" max="264" width="9.28515625" style="2" customWidth="1"/>
    <col min="265" max="270" width="9.42578125" style="2" customWidth="1"/>
    <col min="271" max="271" width="9.140625" style="2"/>
    <col min="272" max="273" width="9.42578125" style="2" customWidth="1"/>
    <col min="27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6.42578125" style="2" customWidth="1"/>
    <col min="519" max="519" width="9.42578125" style="2" customWidth="1"/>
    <col min="520" max="520" width="9.28515625" style="2" customWidth="1"/>
    <col min="521" max="526" width="9.42578125" style="2" customWidth="1"/>
    <col min="527" max="527" width="9.140625" style="2"/>
    <col min="528" max="529" width="9.42578125" style="2" customWidth="1"/>
    <col min="53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6.42578125" style="2" customWidth="1"/>
    <col min="775" max="775" width="9.42578125" style="2" customWidth="1"/>
    <col min="776" max="776" width="9.28515625" style="2" customWidth="1"/>
    <col min="777" max="782" width="9.42578125" style="2" customWidth="1"/>
    <col min="783" max="783" width="9.140625" style="2"/>
    <col min="784" max="785" width="9.42578125" style="2" customWidth="1"/>
    <col min="78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6.42578125" style="2" customWidth="1"/>
    <col min="1031" max="1031" width="9.42578125" style="2" customWidth="1"/>
    <col min="1032" max="1032" width="9.28515625" style="2" customWidth="1"/>
    <col min="1033" max="1038" width="9.42578125" style="2" customWidth="1"/>
    <col min="1039" max="1039" width="9.140625" style="2"/>
    <col min="1040" max="1041" width="9.42578125" style="2" customWidth="1"/>
    <col min="104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6.42578125" style="2" customWidth="1"/>
    <col min="1287" max="1287" width="9.42578125" style="2" customWidth="1"/>
    <col min="1288" max="1288" width="9.28515625" style="2" customWidth="1"/>
    <col min="1289" max="1294" width="9.42578125" style="2" customWidth="1"/>
    <col min="1295" max="1295" width="9.140625" style="2"/>
    <col min="1296" max="1297" width="9.42578125" style="2" customWidth="1"/>
    <col min="129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6.42578125" style="2" customWidth="1"/>
    <col min="1543" max="1543" width="9.42578125" style="2" customWidth="1"/>
    <col min="1544" max="1544" width="9.28515625" style="2" customWidth="1"/>
    <col min="1545" max="1550" width="9.42578125" style="2" customWidth="1"/>
    <col min="1551" max="1551" width="9.140625" style="2"/>
    <col min="1552" max="1553" width="9.42578125" style="2" customWidth="1"/>
    <col min="155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6.42578125" style="2" customWidth="1"/>
    <col min="1799" max="1799" width="9.42578125" style="2" customWidth="1"/>
    <col min="1800" max="1800" width="9.28515625" style="2" customWidth="1"/>
    <col min="1801" max="1806" width="9.42578125" style="2" customWidth="1"/>
    <col min="1807" max="1807" width="9.140625" style="2"/>
    <col min="1808" max="1809" width="9.42578125" style="2" customWidth="1"/>
    <col min="181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6.42578125" style="2" customWidth="1"/>
    <col min="2055" max="2055" width="9.42578125" style="2" customWidth="1"/>
    <col min="2056" max="2056" width="9.28515625" style="2" customWidth="1"/>
    <col min="2057" max="2062" width="9.42578125" style="2" customWidth="1"/>
    <col min="2063" max="2063" width="9.140625" style="2"/>
    <col min="2064" max="2065" width="9.42578125" style="2" customWidth="1"/>
    <col min="206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6.42578125" style="2" customWidth="1"/>
    <col min="2311" max="2311" width="9.42578125" style="2" customWidth="1"/>
    <col min="2312" max="2312" width="9.28515625" style="2" customWidth="1"/>
    <col min="2313" max="2318" width="9.42578125" style="2" customWidth="1"/>
    <col min="2319" max="2319" width="9.140625" style="2"/>
    <col min="2320" max="2321" width="9.42578125" style="2" customWidth="1"/>
    <col min="232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6.42578125" style="2" customWidth="1"/>
    <col min="2567" max="2567" width="9.42578125" style="2" customWidth="1"/>
    <col min="2568" max="2568" width="9.28515625" style="2" customWidth="1"/>
    <col min="2569" max="2574" width="9.42578125" style="2" customWidth="1"/>
    <col min="2575" max="2575" width="9.140625" style="2"/>
    <col min="2576" max="2577" width="9.42578125" style="2" customWidth="1"/>
    <col min="257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6.42578125" style="2" customWidth="1"/>
    <col min="2823" max="2823" width="9.42578125" style="2" customWidth="1"/>
    <col min="2824" max="2824" width="9.28515625" style="2" customWidth="1"/>
    <col min="2825" max="2830" width="9.42578125" style="2" customWidth="1"/>
    <col min="2831" max="2831" width="9.140625" style="2"/>
    <col min="2832" max="2833" width="9.42578125" style="2" customWidth="1"/>
    <col min="283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6.42578125" style="2" customWidth="1"/>
    <col min="3079" max="3079" width="9.42578125" style="2" customWidth="1"/>
    <col min="3080" max="3080" width="9.28515625" style="2" customWidth="1"/>
    <col min="3081" max="3086" width="9.42578125" style="2" customWidth="1"/>
    <col min="3087" max="3087" width="9.140625" style="2"/>
    <col min="3088" max="3089" width="9.42578125" style="2" customWidth="1"/>
    <col min="309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6.42578125" style="2" customWidth="1"/>
    <col min="3335" max="3335" width="9.42578125" style="2" customWidth="1"/>
    <col min="3336" max="3336" width="9.28515625" style="2" customWidth="1"/>
    <col min="3337" max="3342" width="9.42578125" style="2" customWidth="1"/>
    <col min="3343" max="3343" width="9.140625" style="2"/>
    <col min="3344" max="3345" width="9.42578125" style="2" customWidth="1"/>
    <col min="334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6.42578125" style="2" customWidth="1"/>
    <col min="3591" max="3591" width="9.42578125" style="2" customWidth="1"/>
    <col min="3592" max="3592" width="9.28515625" style="2" customWidth="1"/>
    <col min="3593" max="3598" width="9.42578125" style="2" customWidth="1"/>
    <col min="3599" max="3599" width="9.140625" style="2"/>
    <col min="3600" max="3601" width="9.42578125" style="2" customWidth="1"/>
    <col min="360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6.42578125" style="2" customWidth="1"/>
    <col min="3847" max="3847" width="9.42578125" style="2" customWidth="1"/>
    <col min="3848" max="3848" width="9.28515625" style="2" customWidth="1"/>
    <col min="3849" max="3854" width="9.42578125" style="2" customWidth="1"/>
    <col min="3855" max="3855" width="9.140625" style="2"/>
    <col min="3856" max="3857" width="9.42578125" style="2" customWidth="1"/>
    <col min="385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6.42578125" style="2" customWidth="1"/>
    <col min="4103" max="4103" width="9.42578125" style="2" customWidth="1"/>
    <col min="4104" max="4104" width="9.28515625" style="2" customWidth="1"/>
    <col min="4105" max="4110" width="9.42578125" style="2" customWidth="1"/>
    <col min="4111" max="4111" width="9.140625" style="2"/>
    <col min="4112" max="4113" width="9.42578125" style="2" customWidth="1"/>
    <col min="411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6.42578125" style="2" customWidth="1"/>
    <col min="4359" max="4359" width="9.42578125" style="2" customWidth="1"/>
    <col min="4360" max="4360" width="9.28515625" style="2" customWidth="1"/>
    <col min="4361" max="4366" width="9.42578125" style="2" customWidth="1"/>
    <col min="4367" max="4367" width="9.140625" style="2"/>
    <col min="4368" max="4369" width="9.42578125" style="2" customWidth="1"/>
    <col min="437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6.42578125" style="2" customWidth="1"/>
    <col min="4615" max="4615" width="9.42578125" style="2" customWidth="1"/>
    <col min="4616" max="4616" width="9.28515625" style="2" customWidth="1"/>
    <col min="4617" max="4622" width="9.42578125" style="2" customWidth="1"/>
    <col min="4623" max="4623" width="9.140625" style="2"/>
    <col min="4624" max="4625" width="9.42578125" style="2" customWidth="1"/>
    <col min="462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6.42578125" style="2" customWidth="1"/>
    <col min="4871" max="4871" width="9.42578125" style="2" customWidth="1"/>
    <col min="4872" max="4872" width="9.28515625" style="2" customWidth="1"/>
    <col min="4873" max="4878" width="9.42578125" style="2" customWidth="1"/>
    <col min="4879" max="4879" width="9.140625" style="2"/>
    <col min="4880" max="4881" width="9.42578125" style="2" customWidth="1"/>
    <col min="488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6.42578125" style="2" customWidth="1"/>
    <col min="5127" max="5127" width="9.42578125" style="2" customWidth="1"/>
    <col min="5128" max="5128" width="9.28515625" style="2" customWidth="1"/>
    <col min="5129" max="5134" width="9.42578125" style="2" customWidth="1"/>
    <col min="5135" max="5135" width="9.140625" style="2"/>
    <col min="5136" max="5137" width="9.42578125" style="2" customWidth="1"/>
    <col min="513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6.42578125" style="2" customWidth="1"/>
    <col min="5383" max="5383" width="9.42578125" style="2" customWidth="1"/>
    <col min="5384" max="5384" width="9.28515625" style="2" customWidth="1"/>
    <col min="5385" max="5390" width="9.42578125" style="2" customWidth="1"/>
    <col min="5391" max="5391" width="9.140625" style="2"/>
    <col min="5392" max="5393" width="9.42578125" style="2" customWidth="1"/>
    <col min="539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6.42578125" style="2" customWidth="1"/>
    <col min="5639" max="5639" width="9.42578125" style="2" customWidth="1"/>
    <col min="5640" max="5640" width="9.28515625" style="2" customWidth="1"/>
    <col min="5641" max="5646" width="9.42578125" style="2" customWidth="1"/>
    <col min="5647" max="5647" width="9.140625" style="2"/>
    <col min="5648" max="5649" width="9.42578125" style="2" customWidth="1"/>
    <col min="565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6.42578125" style="2" customWidth="1"/>
    <col min="5895" max="5895" width="9.42578125" style="2" customWidth="1"/>
    <col min="5896" max="5896" width="9.28515625" style="2" customWidth="1"/>
    <col min="5897" max="5902" width="9.42578125" style="2" customWidth="1"/>
    <col min="5903" max="5903" width="9.140625" style="2"/>
    <col min="5904" max="5905" width="9.42578125" style="2" customWidth="1"/>
    <col min="590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6.42578125" style="2" customWidth="1"/>
    <col min="6151" max="6151" width="9.42578125" style="2" customWidth="1"/>
    <col min="6152" max="6152" width="9.28515625" style="2" customWidth="1"/>
    <col min="6153" max="6158" width="9.42578125" style="2" customWidth="1"/>
    <col min="6159" max="6159" width="9.140625" style="2"/>
    <col min="6160" max="6161" width="9.42578125" style="2" customWidth="1"/>
    <col min="616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6.42578125" style="2" customWidth="1"/>
    <col min="6407" max="6407" width="9.42578125" style="2" customWidth="1"/>
    <col min="6408" max="6408" width="9.28515625" style="2" customWidth="1"/>
    <col min="6409" max="6414" width="9.42578125" style="2" customWidth="1"/>
    <col min="6415" max="6415" width="9.140625" style="2"/>
    <col min="6416" max="6417" width="9.42578125" style="2" customWidth="1"/>
    <col min="641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6.42578125" style="2" customWidth="1"/>
    <col min="6663" max="6663" width="9.42578125" style="2" customWidth="1"/>
    <col min="6664" max="6664" width="9.28515625" style="2" customWidth="1"/>
    <col min="6665" max="6670" width="9.42578125" style="2" customWidth="1"/>
    <col min="6671" max="6671" width="9.140625" style="2"/>
    <col min="6672" max="6673" width="9.42578125" style="2" customWidth="1"/>
    <col min="667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6.42578125" style="2" customWidth="1"/>
    <col min="6919" max="6919" width="9.42578125" style="2" customWidth="1"/>
    <col min="6920" max="6920" width="9.28515625" style="2" customWidth="1"/>
    <col min="6921" max="6926" width="9.42578125" style="2" customWidth="1"/>
    <col min="6927" max="6927" width="9.140625" style="2"/>
    <col min="6928" max="6929" width="9.42578125" style="2" customWidth="1"/>
    <col min="693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6.42578125" style="2" customWidth="1"/>
    <col min="7175" max="7175" width="9.42578125" style="2" customWidth="1"/>
    <col min="7176" max="7176" width="9.28515625" style="2" customWidth="1"/>
    <col min="7177" max="7182" width="9.42578125" style="2" customWidth="1"/>
    <col min="7183" max="7183" width="9.140625" style="2"/>
    <col min="7184" max="7185" width="9.42578125" style="2" customWidth="1"/>
    <col min="718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6.42578125" style="2" customWidth="1"/>
    <col min="7431" max="7431" width="9.42578125" style="2" customWidth="1"/>
    <col min="7432" max="7432" width="9.28515625" style="2" customWidth="1"/>
    <col min="7433" max="7438" width="9.42578125" style="2" customWidth="1"/>
    <col min="7439" max="7439" width="9.140625" style="2"/>
    <col min="7440" max="7441" width="9.42578125" style="2" customWidth="1"/>
    <col min="744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6.42578125" style="2" customWidth="1"/>
    <col min="7687" max="7687" width="9.42578125" style="2" customWidth="1"/>
    <col min="7688" max="7688" width="9.28515625" style="2" customWidth="1"/>
    <col min="7689" max="7694" width="9.42578125" style="2" customWidth="1"/>
    <col min="7695" max="7695" width="9.140625" style="2"/>
    <col min="7696" max="7697" width="9.42578125" style="2" customWidth="1"/>
    <col min="769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6.42578125" style="2" customWidth="1"/>
    <col min="7943" max="7943" width="9.42578125" style="2" customWidth="1"/>
    <col min="7944" max="7944" width="9.28515625" style="2" customWidth="1"/>
    <col min="7945" max="7950" width="9.42578125" style="2" customWidth="1"/>
    <col min="7951" max="7951" width="9.140625" style="2"/>
    <col min="7952" max="7953" width="9.42578125" style="2" customWidth="1"/>
    <col min="795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6.42578125" style="2" customWidth="1"/>
    <col min="8199" max="8199" width="9.42578125" style="2" customWidth="1"/>
    <col min="8200" max="8200" width="9.28515625" style="2" customWidth="1"/>
    <col min="8201" max="8206" width="9.42578125" style="2" customWidth="1"/>
    <col min="8207" max="8207" width="9.140625" style="2"/>
    <col min="8208" max="8209" width="9.42578125" style="2" customWidth="1"/>
    <col min="821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6.42578125" style="2" customWidth="1"/>
    <col min="8455" max="8455" width="9.42578125" style="2" customWidth="1"/>
    <col min="8456" max="8456" width="9.28515625" style="2" customWidth="1"/>
    <col min="8457" max="8462" width="9.42578125" style="2" customWidth="1"/>
    <col min="8463" max="8463" width="9.140625" style="2"/>
    <col min="8464" max="8465" width="9.42578125" style="2" customWidth="1"/>
    <col min="846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6.42578125" style="2" customWidth="1"/>
    <col min="8711" max="8711" width="9.42578125" style="2" customWidth="1"/>
    <col min="8712" max="8712" width="9.28515625" style="2" customWidth="1"/>
    <col min="8713" max="8718" width="9.42578125" style="2" customWidth="1"/>
    <col min="8719" max="8719" width="9.140625" style="2"/>
    <col min="8720" max="8721" width="9.42578125" style="2" customWidth="1"/>
    <col min="872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6.42578125" style="2" customWidth="1"/>
    <col min="8967" max="8967" width="9.42578125" style="2" customWidth="1"/>
    <col min="8968" max="8968" width="9.28515625" style="2" customWidth="1"/>
    <col min="8969" max="8974" width="9.42578125" style="2" customWidth="1"/>
    <col min="8975" max="8975" width="9.140625" style="2"/>
    <col min="8976" max="8977" width="9.42578125" style="2" customWidth="1"/>
    <col min="897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6.42578125" style="2" customWidth="1"/>
    <col min="9223" max="9223" width="9.42578125" style="2" customWidth="1"/>
    <col min="9224" max="9224" width="9.28515625" style="2" customWidth="1"/>
    <col min="9225" max="9230" width="9.42578125" style="2" customWidth="1"/>
    <col min="9231" max="9231" width="9.140625" style="2"/>
    <col min="9232" max="9233" width="9.42578125" style="2" customWidth="1"/>
    <col min="923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6.42578125" style="2" customWidth="1"/>
    <col min="9479" max="9479" width="9.42578125" style="2" customWidth="1"/>
    <col min="9480" max="9480" width="9.28515625" style="2" customWidth="1"/>
    <col min="9481" max="9486" width="9.42578125" style="2" customWidth="1"/>
    <col min="9487" max="9487" width="9.140625" style="2"/>
    <col min="9488" max="9489" width="9.42578125" style="2" customWidth="1"/>
    <col min="949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6.42578125" style="2" customWidth="1"/>
    <col min="9735" max="9735" width="9.42578125" style="2" customWidth="1"/>
    <col min="9736" max="9736" width="9.28515625" style="2" customWidth="1"/>
    <col min="9737" max="9742" width="9.42578125" style="2" customWidth="1"/>
    <col min="9743" max="9743" width="9.140625" style="2"/>
    <col min="9744" max="9745" width="9.42578125" style="2" customWidth="1"/>
    <col min="974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6.42578125" style="2" customWidth="1"/>
    <col min="9991" max="9991" width="9.42578125" style="2" customWidth="1"/>
    <col min="9992" max="9992" width="9.28515625" style="2" customWidth="1"/>
    <col min="9993" max="9998" width="9.42578125" style="2" customWidth="1"/>
    <col min="9999" max="9999" width="9.140625" style="2"/>
    <col min="10000" max="10001" width="9.42578125" style="2" customWidth="1"/>
    <col min="1000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6.42578125" style="2" customWidth="1"/>
    <col min="10247" max="10247" width="9.42578125" style="2" customWidth="1"/>
    <col min="10248" max="10248" width="9.28515625" style="2" customWidth="1"/>
    <col min="10249" max="10254" width="9.42578125" style="2" customWidth="1"/>
    <col min="10255" max="10255" width="9.140625" style="2"/>
    <col min="10256" max="10257" width="9.42578125" style="2" customWidth="1"/>
    <col min="1025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6.42578125" style="2" customWidth="1"/>
    <col min="10503" max="10503" width="9.42578125" style="2" customWidth="1"/>
    <col min="10504" max="10504" width="9.28515625" style="2" customWidth="1"/>
    <col min="10505" max="10510" width="9.42578125" style="2" customWidth="1"/>
    <col min="10511" max="10511" width="9.140625" style="2"/>
    <col min="10512" max="10513" width="9.42578125" style="2" customWidth="1"/>
    <col min="1051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6.42578125" style="2" customWidth="1"/>
    <col min="10759" max="10759" width="9.42578125" style="2" customWidth="1"/>
    <col min="10760" max="10760" width="9.28515625" style="2" customWidth="1"/>
    <col min="10761" max="10766" width="9.42578125" style="2" customWidth="1"/>
    <col min="10767" max="10767" width="9.140625" style="2"/>
    <col min="10768" max="10769" width="9.42578125" style="2" customWidth="1"/>
    <col min="1077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6.42578125" style="2" customWidth="1"/>
    <col min="11015" max="11015" width="9.42578125" style="2" customWidth="1"/>
    <col min="11016" max="11016" width="9.28515625" style="2" customWidth="1"/>
    <col min="11017" max="11022" width="9.42578125" style="2" customWidth="1"/>
    <col min="11023" max="11023" width="9.140625" style="2"/>
    <col min="11024" max="11025" width="9.42578125" style="2" customWidth="1"/>
    <col min="1102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6.42578125" style="2" customWidth="1"/>
    <col min="11271" max="11271" width="9.42578125" style="2" customWidth="1"/>
    <col min="11272" max="11272" width="9.28515625" style="2" customWidth="1"/>
    <col min="11273" max="11278" width="9.42578125" style="2" customWidth="1"/>
    <col min="11279" max="11279" width="9.140625" style="2"/>
    <col min="11280" max="11281" width="9.42578125" style="2" customWidth="1"/>
    <col min="1128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6.42578125" style="2" customWidth="1"/>
    <col min="11527" max="11527" width="9.42578125" style="2" customWidth="1"/>
    <col min="11528" max="11528" width="9.28515625" style="2" customWidth="1"/>
    <col min="11529" max="11534" width="9.42578125" style="2" customWidth="1"/>
    <col min="11535" max="11535" width="9.140625" style="2"/>
    <col min="11536" max="11537" width="9.42578125" style="2" customWidth="1"/>
    <col min="1153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6.42578125" style="2" customWidth="1"/>
    <col min="11783" max="11783" width="9.42578125" style="2" customWidth="1"/>
    <col min="11784" max="11784" width="9.28515625" style="2" customWidth="1"/>
    <col min="11785" max="11790" width="9.42578125" style="2" customWidth="1"/>
    <col min="11791" max="11791" width="9.140625" style="2"/>
    <col min="11792" max="11793" width="9.42578125" style="2" customWidth="1"/>
    <col min="1179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6.42578125" style="2" customWidth="1"/>
    <col min="12039" max="12039" width="9.42578125" style="2" customWidth="1"/>
    <col min="12040" max="12040" width="9.28515625" style="2" customWidth="1"/>
    <col min="12041" max="12046" width="9.42578125" style="2" customWidth="1"/>
    <col min="12047" max="12047" width="9.140625" style="2"/>
    <col min="12048" max="12049" width="9.42578125" style="2" customWidth="1"/>
    <col min="1205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6.42578125" style="2" customWidth="1"/>
    <col min="12295" max="12295" width="9.42578125" style="2" customWidth="1"/>
    <col min="12296" max="12296" width="9.28515625" style="2" customWidth="1"/>
    <col min="12297" max="12302" width="9.42578125" style="2" customWidth="1"/>
    <col min="12303" max="12303" width="9.140625" style="2"/>
    <col min="12304" max="12305" width="9.42578125" style="2" customWidth="1"/>
    <col min="1230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6.42578125" style="2" customWidth="1"/>
    <col min="12551" max="12551" width="9.42578125" style="2" customWidth="1"/>
    <col min="12552" max="12552" width="9.28515625" style="2" customWidth="1"/>
    <col min="12553" max="12558" width="9.42578125" style="2" customWidth="1"/>
    <col min="12559" max="12559" width="9.140625" style="2"/>
    <col min="12560" max="12561" width="9.42578125" style="2" customWidth="1"/>
    <col min="1256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6.42578125" style="2" customWidth="1"/>
    <col min="12807" max="12807" width="9.42578125" style="2" customWidth="1"/>
    <col min="12808" max="12808" width="9.28515625" style="2" customWidth="1"/>
    <col min="12809" max="12814" width="9.42578125" style="2" customWidth="1"/>
    <col min="12815" max="12815" width="9.140625" style="2"/>
    <col min="12816" max="12817" width="9.42578125" style="2" customWidth="1"/>
    <col min="1281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6.42578125" style="2" customWidth="1"/>
    <col min="13063" max="13063" width="9.42578125" style="2" customWidth="1"/>
    <col min="13064" max="13064" width="9.28515625" style="2" customWidth="1"/>
    <col min="13065" max="13070" width="9.42578125" style="2" customWidth="1"/>
    <col min="13071" max="13071" width="9.140625" style="2"/>
    <col min="13072" max="13073" width="9.42578125" style="2" customWidth="1"/>
    <col min="1307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6.42578125" style="2" customWidth="1"/>
    <col min="13319" max="13319" width="9.42578125" style="2" customWidth="1"/>
    <col min="13320" max="13320" width="9.28515625" style="2" customWidth="1"/>
    <col min="13321" max="13326" width="9.42578125" style="2" customWidth="1"/>
    <col min="13327" max="13327" width="9.140625" style="2"/>
    <col min="13328" max="13329" width="9.42578125" style="2" customWidth="1"/>
    <col min="1333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6.42578125" style="2" customWidth="1"/>
    <col min="13575" max="13575" width="9.42578125" style="2" customWidth="1"/>
    <col min="13576" max="13576" width="9.28515625" style="2" customWidth="1"/>
    <col min="13577" max="13582" width="9.42578125" style="2" customWidth="1"/>
    <col min="13583" max="13583" width="9.140625" style="2"/>
    <col min="13584" max="13585" width="9.42578125" style="2" customWidth="1"/>
    <col min="1358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6.42578125" style="2" customWidth="1"/>
    <col min="13831" max="13831" width="9.42578125" style="2" customWidth="1"/>
    <col min="13832" max="13832" width="9.28515625" style="2" customWidth="1"/>
    <col min="13833" max="13838" width="9.42578125" style="2" customWidth="1"/>
    <col min="13839" max="13839" width="9.140625" style="2"/>
    <col min="13840" max="13841" width="9.42578125" style="2" customWidth="1"/>
    <col min="1384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6.42578125" style="2" customWidth="1"/>
    <col min="14087" max="14087" width="9.42578125" style="2" customWidth="1"/>
    <col min="14088" max="14088" width="9.28515625" style="2" customWidth="1"/>
    <col min="14089" max="14094" width="9.42578125" style="2" customWidth="1"/>
    <col min="14095" max="14095" width="9.140625" style="2"/>
    <col min="14096" max="14097" width="9.42578125" style="2" customWidth="1"/>
    <col min="1409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6.42578125" style="2" customWidth="1"/>
    <col min="14343" max="14343" width="9.42578125" style="2" customWidth="1"/>
    <col min="14344" max="14344" width="9.28515625" style="2" customWidth="1"/>
    <col min="14345" max="14350" width="9.42578125" style="2" customWidth="1"/>
    <col min="14351" max="14351" width="9.140625" style="2"/>
    <col min="14352" max="14353" width="9.42578125" style="2" customWidth="1"/>
    <col min="1435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6.42578125" style="2" customWidth="1"/>
    <col min="14599" max="14599" width="9.42578125" style="2" customWidth="1"/>
    <col min="14600" max="14600" width="9.28515625" style="2" customWidth="1"/>
    <col min="14601" max="14606" width="9.42578125" style="2" customWidth="1"/>
    <col min="14607" max="14607" width="9.140625" style="2"/>
    <col min="14608" max="14609" width="9.42578125" style="2" customWidth="1"/>
    <col min="1461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6.42578125" style="2" customWidth="1"/>
    <col min="14855" max="14855" width="9.42578125" style="2" customWidth="1"/>
    <col min="14856" max="14856" width="9.28515625" style="2" customWidth="1"/>
    <col min="14857" max="14862" width="9.42578125" style="2" customWidth="1"/>
    <col min="14863" max="14863" width="9.140625" style="2"/>
    <col min="14864" max="14865" width="9.42578125" style="2" customWidth="1"/>
    <col min="1486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6.42578125" style="2" customWidth="1"/>
    <col min="15111" max="15111" width="9.42578125" style="2" customWidth="1"/>
    <col min="15112" max="15112" width="9.28515625" style="2" customWidth="1"/>
    <col min="15113" max="15118" width="9.42578125" style="2" customWidth="1"/>
    <col min="15119" max="15119" width="9.140625" style="2"/>
    <col min="15120" max="15121" width="9.42578125" style="2" customWidth="1"/>
    <col min="1512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6.42578125" style="2" customWidth="1"/>
    <col min="15367" max="15367" width="9.42578125" style="2" customWidth="1"/>
    <col min="15368" max="15368" width="9.28515625" style="2" customWidth="1"/>
    <col min="15369" max="15374" width="9.42578125" style="2" customWidth="1"/>
    <col min="15375" max="15375" width="9.140625" style="2"/>
    <col min="15376" max="15377" width="9.42578125" style="2" customWidth="1"/>
    <col min="1537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6.42578125" style="2" customWidth="1"/>
    <col min="15623" max="15623" width="9.42578125" style="2" customWidth="1"/>
    <col min="15624" max="15624" width="9.28515625" style="2" customWidth="1"/>
    <col min="15625" max="15630" width="9.42578125" style="2" customWidth="1"/>
    <col min="15631" max="15631" width="9.140625" style="2"/>
    <col min="15632" max="15633" width="9.42578125" style="2" customWidth="1"/>
    <col min="1563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6.42578125" style="2" customWidth="1"/>
    <col min="15879" max="15879" width="9.42578125" style="2" customWidth="1"/>
    <col min="15880" max="15880" width="9.28515625" style="2" customWidth="1"/>
    <col min="15881" max="15886" width="9.42578125" style="2" customWidth="1"/>
    <col min="15887" max="15887" width="9.140625" style="2"/>
    <col min="15888" max="15889" width="9.42578125" style="2" customWidth="1"/>
    <col min="1589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6.42578125" style="2" customWidth="1"/>
    <col min="16135" max="16135" width="9.42578125" style="2" customWidth="1"/>
    <col min="16136" max="16136" width="9.28515625" style="2" customWidth="1"/>
    <col min="16137" max="16142" width="9.42578125" style="2" customWidth="1"/>
    <col min="16143" max="16143" width="9.140625" style="2"/>
    <col min="16144" max="16145" width="9.42578125" style="2" customWidth="1"/>
    <col min="16146" max="16384" width="9.140625" style="2"/>
  </cols>
  <sheetData>
    <row r="1" spans="1:18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" t="s">
        <v>0</v>
      </c>
    </row>
    <row r="4" spans="1:18">
      <c r="H4" s="9"/>
    </row>
    <row r="5" spans="1:18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6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7" t="s">
        <v>28</v>
      </c>
      <c r="N5" s="77" t="s">
        <v>29</v>
      </c>
      <c r="O5" s="77" t="s">
        <v>39</v>
      </c>
      <c r="P5" s="77" t="s">
        <v>31</v>
      </c>
      <c r="Q5" s="77" t="s">
        <v>32</v>
      </c>
      <c r="R5" s="78" t="s">
        <v>33</v>
      </c>
    </row>
    <row r="6" spans="1:18" ht="10.5" customHeight="1">
      <c r="G6" s="81"/>
      <c r="H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+G9+G16</f>
        <v>619006</v>
      </c>
      <c r="H7" s="126">
        <f t="shared" si="0"/>
        <v>607370.42700000003</v>
      </c>
      <c r="I7" s="126">
        <f t="shared" si="0"/>
        <v>603943.26800000004</v>
      </c>
      <c r="J7" s="126">
        <f t="shared" si="0"/>
        <v>598238.87300000002</v>
      </c>
      <c r="K7" s="126">
        <f t="shared" si="0"/>
        <v>604140</v>
      </c>
      <c r="L7" s="126">
        <f t="shared" si="0"/>
        <v>611865.53700000001</v>
      </c>
      <c r="M7" s="126">
        <f t="shared" si="0"/>
        <v>606028.42700000003</v>
      </c>
      <c r="N7" s="126">
        <f t="shared" si="0"/>
        <v>606717.42700000003</v>
      </c>
      <c r="O7" s="126">
        <f t="shared" si="0"/>
        <v>596786.42700000003</v>
      </c>
      <c r="P7" s="126">
        <f t="shared" si="0"/>
        <v>602363.74399999995</v>
      </c>
      <c r="Q7" s="126">
        <f t="shared" si="0"/>
        <v>592347.9</v>
      </c>
      <c r="R7" s="126">
        <f t="shared" si="0"/>
        <v>586349.6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v>33132</v>
      </c>
      <c r="H9" s="13">
        <f>H11+H12</f>
        <v>30924.427</v>
      </c>
      <c r="I9" s="13">
        <f>I11+I12</f>
        <v>30920.427</v>
      </c>
      <c r="J9" s="13">
        <f>J11+J12</f>
        <v>26916.873</v>
      </c>
      <c r="K9" s="13">
        <v>38975</v>
      </c>
      <c r="L9" s="13">
        <f t="shared" ref="L9:Q9" si="1">L11+L12</f>
        <v>38971.537000000004</v>
      </c>
      <c r="M9" s="13">
        <f t="shared" si="1"/>
        <v>38965.427000000003</v>
      </c>
      <c r="N9" s="13">
        <f t="shared" si="1"/>
        <v>38958.427000000003</v>
      </c>
      <c r="O9" s="13">
        <f t="shared" si="1"/>
        <v>37216.427000000003</v>
      </c>
      <c r="P9" s="13">
        <f t="shared" si="1"/>
        <v>37204.744000000006</v>
      </c>
      <c r="Q9" s="13">
        <f t="shared" si="1"/>
        <v>48198.9</v>
      </c>
      <c r="R9" s="13">
        <f>R11+R12</f>
        <v>48182.6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32948</v>
      </c>
      <c r="H11" s="15">
        <v>30741</v>
      </c>
      <c r="I11" s="15">
        <v>30737</v>
      </c>
      <c r="J11" s="15">
        <v>26733.446</v>
      </c>
      <c r="K11" s="15">
        <v>38791</v>
      </c>
      <c r="L11" s="15">
        <v>38788.11</v>
      </c>
      <c r="M11" s="15">
        <v>38782</v>
      </c>
      <c r="N11" s="15">
        <v>38775</v>
      </c>
      <c r="O11" s="15">
        <v>37033</v>
      </c>
      <c r="P11" s="15">
        <v>37021.317000000003</v>
      </c>
      <c r="Q11" s="15">
        <v>48015.472999999998</v>
      </c>
      <c r="R11" s="15">
        <v>48012.260999999999</v>
      </c>
    </row>
    <row r="12" spans="1:18">
      <c r="B12" s="2" t="s">
        <v>135</v>
      </c>
      <c r="G12" s="14">
        <f t="shared" ref="G12:R12" si="2">+SUM(G13:G14)</f>
        <v>183.42699999999999</v>
      </c>
      <c r="H12" s="14">
        <f t="shared" si="2"/>
        <v>183.42699999999999</v>
      </c>
      <c r="I12" s="14">
        <f t="shared" si="2"/>
        <v>183.42699999999999</v>
      </c>
      <c r="J12" s="14">
        <f t="shared" si="2"/>
        <v>183.42699999999999</v>
      </c>
      <c r="K12" s="14">
        <f t="shared" si="2"/>
        <v>183.42699999999999</v>
      </c>
      <c r="L12" s="14">
        <f t="shared" si="2"/>
        <v>183.42699999999999</v>
      </c>
      <c r="M12" s="14">
        <f t="shared" si="2"/>
        <v>183.42699999999999</v>
      </c>
      <c r="N12" s="14">
        <f t="shared" si="2"/>
        <v>183.42699999999999</v>
      </c>
      <c r="O12" s="14">
        <f t="shared" si="2"/>
        <v>183.42699999999999</v>
      </c>
      <c r="P12" s="14">
        <f t="shared" si="2"/>
        <v>183.42699999999999</v>
      </c>
      <c r="Q12" s="14">
        <f t="shared" si="2"/>
        <v>183.42699999999999</v>
      </c>
      <c r="R12" s="14">
        <f t="shared" si="2"/>
        <v>170.339</v>
      </c>
    </row>
    <row r="13" spans="1:18">
      <c r="C13" s="2" t="s">
        <v>13</v>
      </c>
      <c r="G13" s="15">
        <v>36.826000000000001</v>
      </c>
      <c r="H13" s="15">
        <v>36.826000000000001</v>
      </c>
      <c r="I13" s="15">
        <v>36.826000000000001</v>
      </c>
      <c r="J13" s="15">
        <v>36.826000000000001</v>
      </c>
      <c r="K13" s="15">
        <v>36.826000000000001</v>
      </c>
      <c r="L13" s="15">
        <v>36.826000000000001</v>
      </c>
      <c r="M13" s="15">
        <v>36.826000000000001</v>
      </c>
      <c r="N13" s="15">
        <v>36.826000000000001</v>
      </c>
      <c r="O13" s="15">
        <v>36.826000000000001</v>
      </c>
      <c r="P13" s="15">
        <v>36.826000000000001</v>
      </c>
      <c r="Q13" s="15">
        <v>36.826000000000001</v>
      </c>
      <c r="R13" s="15">
        <v>36.826000000000001</v>
      </c>
    </row>
    <row r="14" spans="1:18">
      <c r="C14" s="2" t="s">
        <v>15</v>
      </c>
      <c r="G14" s="15">
        <v>146.601</v>
      </c>
      <c r="H14" s="15">
        <v>146.601</v>
      </c>
      <c r="I14" s="15">
        <v>146.601</v>
      </c>
      <c r="J14" s="15">
        <v>146.601</v>
      </c>
      <c r="K14" s="15">
        <v>146.601</v>
      </c>
      <c r="L14" s="15">
        <v>146.601</v>
      </c>
      <c r="M14" s="15">
        <v>146.601</v>
      </c>
      <c r="N14" s="15">
        <v>146.601</v>
      </c>
      <c r="O14" s="15">
        <v>146.601</v>
      </c>
      <c r="P14" s="15">
        <v>146.601</v>
      </c>
      <c r="Q14" s="15">
        <v>146.601</v>
      </c>
      <c r="R14" s="15">
        <v>133.51300000000001</v>
      </c>
    </row>
    <row r="15" spans="1:18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" t="s">
        <v>136</v>
      </c>
      <c r="B16" s="1"/>
      <c r="C16" s="1"/>
      <c r="D16" s="1"/>
      <c r="E16" s="1"/>
      <c r="F16" s="1"/>
      <c r="G16" s="13">
        <f t="shared" ref="G16:R16" si="3">+G18+G19</f>
        <v>585874</v>
      </c>
      <c r="H16" s="13">
        <f t="shared" si="3"/>
        <v>576446</v>
      </c>
      <c r="I16" s="13">
        <f t="shared" si="3"/>
        <v>573022.84100000001</v>
      </c>
      <c r="J16" s="13">
        <f t="shared" si="3"/>
        <v>571322</v>
      </c>
      <c r="K16" s="13">
        <f t="shared" si="3"/>
        <v>565165</v>
      </c>
      <c r="L16" s="13">
        <f t="shared" si="3"/>
        <v>572894</v>
      </c>
      <c r="M16" s="13">
        <f t="shared" si="3"/>
        <v>567063</v>
      </c>
      <c r="N16" s="13">
        <f t="shared" si="3"/>
        <v>567759</v>
      </c>
      <c r="O16" s="13">
        <f t="shared" si="3"/>
        <v>559570</v>
      </c>
      <c r="P16" s="13">
        <f t="shared" si="3"/>
        <v>565159</v>
      </c>
      <c r="Q16" s="13">
        <f t="shared" si="3"/>
        <v>544149</v>
      </c>
      <c r="R16" s="13">
        <f t="shared" si="3"/>
        <v>538167</v>
      </c>
    </row>
    <row r="17" spans="1:18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B18" s="2" t="s">
        <v>134</v>
      </c>
      <c r="G18" s="15">
        <v>574955</v>
      </c>
      <c r="H18" s="15">
        <v>565651</v>
      </c>
      <c r="I18" s="15">
        <v>562349</v>
      </c>
      <c r="J18" s="15">
        <v>560668</v>
      </c>
      <c r="K18" s="15">
        <v>554616</v>
      </c>
      <c r="L18" s="15">
        <v>562175</v>
      </c>
      <c r="M18" s="15">
        <v>557786</v>
      </c>
      <c r="N18" s="15">
        <v>558436</v>
      </c>
      <c r="O18" s="15">
        <v>550341</v>
      </c>
      <c r="P18" s="15">
        <v>556136</v>
      </c>
      <c r="Q18" s="15">
        <v>535421</v>
      </c>
      <c r="R18" s="15">
        <v>529542</v>
      </c>
    </row>
    <row r="19" spans="1:18">
      <c r="B19" s="2" t="s">
        <v>135</v>
      </c>
      <c r="G19" s="14">
        <f t="shared" ref="G19:R19" si="4">+SUM(G20:G23)</f>
        <v>10919</v>
      </c>
      <c r="H19" s="14">
        <f t="shared" si="4"/>
        <v>10795</v>
      </c>
      <c r="I19" s="14">
        <f t="shared" si="4"/>
        <v>10673.841</v>
      </c>
      <c r="J19" s="14">
        <f t="shared" si="4"/>
        <v>10654</v>
      </c>
      <c r="K19" s="14">
        <f t="shared" si="4"/>
        <v>10549</v>
      </c>
      <c r="L19" s="14">
        <f t="shared" si="4"/>
        <v>10719</v>
      </c>
      <c r="M19" s="14">
        <f t="shared" si="4"/>
        <v>9277</v>
      </c>
      <c r="N19" s="14">
        <f t="shared" si="4"/>
        <v>9323</v>
      </c>
      <c r="O19" s="14">
        <f t="shared" si="4"/>
        <v>9229</v>
      </c>
      <c r="P19" s="14">
        <f t="shared" si="4"/>
        <v>9023</v>
      </c>
      <c r="Q19" s="14">
        <f t="shared" si="4"/>
        <v>8728</v>
      </c>
      <c r="R19" s="14">
        <f t="shared" si="4"/>
        <v>8625</v>
      </c>
    </row>
    <row r="20" spans="1:18">
      <c r="C20" s="2" t="s">
        <v>12</v>
      </c>
      <c r="G20" s="15">
        <v>5773</v>
      </c>
      <c r="H20" s="15">
        <v>5721</v>
      </c>
      <c r="I20" s="15">
        <f>104.214*54.75</f>
        <v>5705.7164999999995</v>
      </c>
      <c r="J20" s="15">
        <v>5677</v>
      </c>
      <c r="K20" s="15">
        <v>5664</v>
      </c>
      <c r="L20" s="15">
        <v>5820</v>
      </c>
      <c r="M20" s="15">
        <v>5615</v>
      </c>
      <c r="N20" s="15">
        <v>5630</v>
      </c>
      <c r="O20" s="25">
        <v>5602</v>
      </c>
      <c r="P20" s="25">
        <v>5498</v>
      </c>
      <c r="Q20" s="25">
        <v>5377</v>
      </c>
      <c r="R20" s="25">
        <v>5293</v>
      </c>
    </row>
    <row r="21" spans="1:18">
      <c r="C21" s="2" t="s">
        <v>13</v>
      </c>
      <c r="G21" s="15">
        <v>4898</v>
      </c>
      <c r="H21" s="15">
        <v>4826</v>
      </c>
      <c r="I21" s="15">
        <f>86.263*54.75</f>
        <v>4722.8992500000004</v>
      </c>
      <c r="J21" s="15">
        <v>4733</v>
      </c>
      <c r="K21" s="15">
        <v>4644</v>
      </c>
      <c r="L21" s="15">
        <v>4655</v>
      </c>
      <c r="M21" s="15">
        <v>3467</v>
      </c>
      <c r="N21" s="15">
        <v>3497</v>
      </c>
      <c r="O21" s="25">
        <v>3433</v>
      </c>
      <c r="P21" s="25">
        <v>3334</v>
      </c>
      <c r="Q21" s="25">
        <v>3167</v>
      </c>
      <c r="R21" s="25">
        <v>3150</v>
      </c>
    </row>
    <row r="22" spans="1:18">
      <c r="C22" s="2" t="s">
        <v>151</v>
      </c>
      <c r="G22" s="15">
        <v>134</v>
      </c>
      <c r="H22" s="15">
        <v>132</v>
      </c>
      <c r="I22" s="15">
        <f>2.418*54.75</f>
        <v>132.38550000000001</v>
      </c>
      <c r="J22" s="15">
        <v>132</v>
      </c>
      <c r="K22" s="15">
        <v>132</v>
      </c>
      <c r="L22" s="15">
        <v>135</v>
      </c>
      <c r="M22" s="15">
        <v>113</v>
      </c>
      <c r="N22" s="15">
        <v>113</v>
      </c>
      <c r="O22" s="127">
        <v>113</v>
      </c>
      <c r="P22" s="127">
        <v>111</v>
      </c>
      <c r="Q22" s="127">
        <v>108</v>
      </c>
      <c r="R22" s="127">
        <v>107</v>
      </c>
    </row>
    <row r="23" spans="1:18">
      <c r="C23" s="2" t="s">
        <v>15</v>
      </c>
      <c r="G23" s="15">
        <v>114</v>
      </c>
      <c r="H23" s="15">
        <v>116</v>
      </c>
      <c r="I23" s="15">
        <f>2.061*54.75</f>
        <v>112.83975</v>
      </c>
      <c r="J23" s="15">
        <v>112</v>
      </c>
      <c r="K23" s="15">
        <v>109</v>
      </c>
      <c r="L23" s="15">
        <v>109</v>
      </c>
      <c r="M23" s="15">
        <v>82</v>
      </c>
      <c r="N23" s="15">
        <v>83</v>
      </c>
      <c r="O23" s="127">
        <v>81</v>
      </c>
      <c r="P23" s="127">
        <v>80</v>
      </c>
      <c r="Q23" s="127">
        <v>76</v>
      </c>
      <c r="R23" s="127">
        <v>75</v>
      </c>
    </row>
    <row r="24" spans="1:18">
      <c r="G24" s="15"/>
    </row>
    <row r="25" spans="1:18">
      <c r="A25" s="9"/>
      <c r="B25" s="9"/>
      <c r="C25" s="9"/>
      <c r="D25" s="9"/>
      <c r="E25" s="9"/>
      <c r="F25" s="9"/>
    </row>
    <row r="26" spans="1:18">
      <c r="A26" s="2" t="s">
        <v>80</v>
      </c>
    </row>
    <row r="27" spans="1:18">
      <c r="A27" s="1"/>
    </row>
    <row r="28" spans="1:18">
      <c r="A28" s="1"/>
    </row>
    <row r="29" spans="1:18">
      <c r="A29" s="1"/>
    </row>
    <row r="30" spans="1:18">
      <c r="A30" s="1"/>
    </row>
    <row r="31" spans="1:18">
      <c r="A31" s="1"/>
    </row>
    <row r="32" spans="1:18">
      <c r="A32" s="1"/>
    </row>
    <row r="33" spans="1:7">
      <c r="A33" s="79"/>
      <c r="B33" s="79"/>
      <c r="C33" s="79"/>
      <c r="D33" s="79"/>
      <c r="E33" s="79"/>
      <c r="F33" s="79"/>
      <c r="G33" s="79"/>
    </row>
    <row r="34" spans="1:7">
      <c r="A34" s="11" t="s">
        <v>22</v>
      </c>
    </row>
    <row r="35" spans="1:7">
      <c r="A35" s="11" t="s">
        <v>68</v>
      </c>
    </row>
    <row r="36" spans="1:7">
      <c r="A36" s="11" t="s">
        <v>154</v>
      </c>
      <c r="F36" s="11"/>
    </row>
    <row r="37" spans="1:7">
      <c r="A37" s="48" t="s">
        <v>155</v>
      </c>
    </row>
    <row r="38" spans="1:7">
      <c r="A38" s="4"/>
      <c r="F38" s="11"/>
    </row>
    <row r="39" spans="1:7">
      <c r="A39" s="11" t="s">
        <v>35</v>
      </c>
      <c r="F39" s="11"/>
    </row>
    <row r="40" spans="1:7">
      <c r="F40" s="11"/>
    </row>
    <row r="47" spans="1:7">
      <c r="G47" s="79"/>
    </row>
    <row r="48" spans="1:7">
      <c r="G48" s="11"/>
    </row>
    <row r="49" spans="7:7">
      <c r="G49" s="11"/>
    </row>
    <row r="50" spans="7:7">
      <c r="G50" s="11"/>
    </row>
    <row r="51" spans="7:7">
      <c r="G51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0">
    <pageSetUpPr fitToPage="1"/>
  </sheetPr>
  <dimension ref="A1:W57"/>
  <sheetViews>
    <sheetView zoomScale="118" zoomScaleNormal="118" workbookViewId="0">
      <selection activeCell="D11" sqref="D11"/>
    </sheetView>
  </sheetViews>
  <sheetFormatPr defaultRowHeight="16.5"/>
  <cols>
    <col min="1" max="1" width="2" style="2" customWidth="1"/>
    <col min="2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20" style="2" customWidth="1"/>
    <col min="7" max="7" width="10.85546875" style="15" hidden="1" customWidth="1"/>
    <col min="8" max="8" width="4.140625" style="15" hidden="1" customWidth="1"/>
    <col min="9" max="9" width="2.5703125" style="15" hidden="1" customWidth="1"/>
    <col min="10" max="10" width="4.140625" style="15" hidden="1" customWidth="1"/>
    <col min="11" max="11" width="4.85546875" style="15" hidden="1" customWidth="1"/>
    <col min="12" max="23" width="10.140625" style="2" bestFit="1" customWidth="1"/>
    <col min="24" max="256" width="9.140625" style="2"/>
    <col min="257" max="257" width="2" style="2" customWidth="1"/>
    <col min="258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20" style="2" customWidth="1"/>
    <col min="263" max="267" width="0" style="2" hidden="1" customWidth="1"/>
    <col min="268" max="275" width="8.85546875" style="2" customWidth="1"/>
    <col min="276" max="279" width="9.28515625" style="2" bestFit="1" customWidth="1"/>
    <col min="280" max="512" width="9.140625" style="2"/>
    <col min="513" max="513" width="2" style="2" customWidth="1"/>
    <col min="514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20" style="2" customWidth="1"/>
    <col min="519" max="523" width="0" style="2" hidden="1" customWidth="1"/>
    <col min="524" max="531" width="8.85546875" style="2" customWidth="1"/>
    <col min="532" max="535" width="9.28515625" style="2" bestFit="1" customWidth="1"/>
    <col min="536" max="768" width="9.140625" style="2"/>
    <col min="769" max="769" width="2" style="2" customWidth="1"/>
    <col min="770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20" style="2" customWidth="1"/>
    <col min="775" max="779" width="0" style="2" hidden="1" customWidth="1"/>
    <col min="780" max="787" width="8.85546875" style="2" customWidth="1"/>
    <col min="788" max="791" width="9.28515625" style="2" bestFit="1" customWidth="1"/>
    <col min="792" max="1024" width="9.140625" style="2"/>
    <col min="1025" max="1025" width="2" style="2" customWidth="1"/>
    <col min="1026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20" style="2" customWidth="1"/>
    <col min="1031" max="1035" width="0" style="2" hidden="1" customWidth="1"/>
    <col min="1036" max="1043" width="8.85546875" style="2" customWidth="1"/>
    <col min="1044" max="1047" width="9.28515625" style="2" bestFit="1" customWidth="1"/>
    <col min="1048" max="1280" width="9.140625" style="2"/>
    <col min="1281" max="1281" width="2" style="2" customWidth="1"/>
    <col min="1282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20" style="2" customWidth="1"/>
    <col min="1287" max="1291" width="0" style="2" hidden="1" customWidth="1"/>
    <col min="1292" max="1299" width="8.85546875" style="2" customWidth="1"/>
    <col min="1300" max="1303" width="9.28515625" style="2" bestFit="1" customWidth="1"/>
    <col min="1304" max="1536" width="9.140625" style="2"/>
    <col min="1537" max="1537" width="2" style="2" customWidth="1"/>
    <col min="1538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20" style="2" customWidth="1"/>
    <col min="1543" max="1547" width="0" style="2" hidden="1" customWidth="1"/>
    <col min="1548" max="1555" width="8.85546875" style="2" customWidth="1"/>
    <col min="1556" max="1559" width="9.28515625" style="2" bestFit="1" customWidth="1"/>
    <col min="1560" max="1792" width="9.140625" style="2"/>
    <col min="1793" max="1793" width="2" style="2" customWidth="1"/>
    <col min="1794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20" style="2" customWidth="1"/>
    <col min="1799" max="1803" width="0" style="2" hidden="1" customWidth="1"/>
    <col min="1804" max="1811" width="8.85546875" style="2" customWidth="1"/>
    <col min="1812" max="1815" width="9.28515625" style="2" bestFit="1" customWidth="1"/>
    <col min="1816" max="2048" width="9.140625" style="2"/>
    <col min="2049" max="2049" width="2" style="2" customWidth="1"/>
    <col min="2050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20" style="2" customWidth="1"/>
    <col min="2055" max="2059" width="0" style="2" hidden="1" customWidth="1"/>
    <col min="2060" max="2067" width="8.85546875" style="2" customWidth="1"/>
    <col min="2068" max="2071" width="9.28515625" style="2" bestFit="1" customWidth="1"/>
    <col min="2072" max="2304" width="9.140625" style="2"/>
    <col min="2305" max="2305" width="2" style="2" customWidth="1"/>
    <col min="2306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20" style="2" customWidth="1"/>
    <col min="2311" max="2315" width="0" style="2" hidden="1" customWidth="1"/>
    <col min="2316" max="2323" width="8.85546875" style="2" customWidth="1"/>
    <col min="2324" max="2327" width="9.28515625" style="2" bestFit="1" customWidth="1"/>
    <col min="2328" max="2560" width="9.140625" style="2"/>
    <col min="2561" max="2561" width="2" style="2" customWidth="1"/>
    <col min="2562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20" style="2" customWidth="1"/>
    <col min="2567" max="2571" width="0" style="2" hidden="1" customWidth="1"/>
    <col min="2572" max="2579" width="8.85546875" style="2" customWidth="1"/>
    <col min="2580" max="2583" width="9.28515625" style="2" bestFit="1" customWidth="1"/>
    <col min="2584" max="2816" width="9.140625" style="2"/>
    <col min="2817" max="2817" width="2" style="2" customWidth="1"/>
    <col min="2818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20" style="2" customWidth="1"/>
    <col min="2823" max="2827" width="0" style="2" hidden="1" customWidth="1"/>
    <col min="2828" max="2835" width="8.85546875" style="2" customWidth="1"/>
    <col min="2836" max="2839" width="9.28515625" style="2" bestFit="1" customWidth="1"/>
    <col min="2840" max="3072" width="9.140625" style="2"/>
    <col min="3073" max="3073" width="2" style="2" customWidth="1"/>
    <col min="3074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20" style="2" customWidth="1"/>
    <col min="3079" max="3083" width="0" style="2" hidden="1" customWidth="1"/>
    <col min="3084" max="3091" width="8.85546875" style="2" customWidth="1"/>
    <col min="3092" max="3095" width="9.28515625" style="2" bestFit="1" customWidth="1"/>
    <col min="3096" max="3328" width="9.140625" style="2"/>
    <col min="3329" max="3329" width="2" style="2" customWidth="1"/>
    <col min="3330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20" style="2" customWidth="1"/>
    <col min="3335" max="3339" width="0" style="2" hidden="1" customWidth="1"/>
    <col min="3340" max="3347" width="8.85546875" style="2" customWidth="1"/>
    <col min="3348" max="3351" width="9.28515625" style="2" bestFit="1" customWidth="1"/>
    <col min="3352" max="3584" width="9.140625" style="2"/>
    <col min="3585" max="3585" width="2" style="2" customWidth="1"/>
    <col min="3586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20" style="2" customWidth="1"/>
    <col min="3591" max="3595" width="0" style="2" hidden="1" customWidth="1"/>
    <col min="3596" max="3603" width="8.85546875" style="2" customWidth="1"/>
    <col min="3604" max="3607" width="9.28515625" style="2" bestFit="1" customWidth="1"/>
    <col min="3608" max="3840" width="9.140625" style="2"/>
    <col min="3841" max="3841" width="2" style="2" customWidth="1"/>
    <col min="3842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20" style="2" customWidth="1"/>
    <col min="3847" max="3851" width="0" style="2" hidden="1" customWidth="1"/>
    <col min="3852" max="3859" width="8.85546875" style="2" customWidth="1"/>
    <col min="3860" max="3863" width="9.28515625" style="2" bestFit="1" customWidth="1"/>
    <col min="3864" max="4096" width="9.140625" style="2"/>
    <col min="4097" max="4097" width="2" style="2" customWidth="1"/>
    <col min="4098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20" style="2" customWidth="1"/>
    <col min="4103" max="4107" width="0" style="2" hidden="1" customWidth="1"/>
    <col min="4108" max="4115" width="8.85546875" style="2" customWidth="1"/>
    <col min="4116" max="4119" width="9.28515625" style="2" bestFit="1" customWidth="1"/>
    <col min="4120" max="4352" width="9.140625" style="2"/>
    <col min="4353" max="4353" width="2" style="2" customWidth="1"/>
    <col min="4354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20" style="2" customWidth="1"/>
    <col min="4359" max="4363" width="0" style="2" hidden="1" customWidth="1"/>
    <col min="4364" max="4371" width="8.85546875" style="2" customWidth="1"/>
    <col min="4372" max="4375" width="9.28515625" style="2" bestFit="1" customWidth="1"/>
    <col min="4376" max="4608" width="9.140625" style="2"/>
    <col min="4609" max="4609" width="2" style="2" customWidth="1"/>
    <col min="4610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20" style="2" customWidth="1"/>
    <col min="4615" max="4619" width="0" style="2" hidden="1" customWidth="1"/>
    <col min="4620" max="4627" width="8.85546875" style="2" customWidth="1"/>
    <col min="4628" max="4631" width="9.28515625" style="2" bestFit="1" customWidth="1"/>
    <col min="4632" max="4864" width="9.140625" style="2"/>
    <col min="4865" max="4865" width="2" style="2" customWidth="1"/>
    <col min="4866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20" style="2" customWidth="1"/>
    <col min="4871" max="4875" width="0" style="2" hidden="1" customWidth="1"/>
    <col min="4876" max="4883" width="8.85546875" style="2" customWidth="1"/>
    <col min="4884" max="4887" width="9.28515625" style="2" bestFit="1" customWidth="1"/>
    <col min="4888" max="5120" width="9.140625" style="2"/>
    <col min="5121" max="5121" width="2" style="2" customWidth="1"/>
    <col min="5122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20" style="2" customWidth="1"/>
    <col min="5127" max="5131" width="0" style="2" hidden="1" customWidth="1"/>
    <col min="5132" max="5139" width="8.85546875" style="2" customWidth="1"/>
    <col min="5140" max="5143" width="9.28515625" style="2" bestFit="1" customWidth="1"/>
    <col min="5144" max="5376" width="9.140625" style="2"/>
    <col min="5377" max="5377" width="2" style="2" customWidth="1"/>
    <col min="5378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20" style="2" customWidth="1"/>
    <col min="5383" max="5387" width="0" style="2" hidden="1" customWidth="1"/>
    <col min="5388" max="5395" width="8.85546875" style="2" customWidth="1"/>
    <col min="5396" max="5399" width="9.28515625" style="2" bestFit="1" customWidth="1"/>
    <col min="5400" max="5632" width="9.140625" style="2"/>
    <col min="5633" max="5633" width="2" style="2" customWidth="1"/>
    <col min="5634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20" style="2" customWidth="1"/>
    <col min="5639" max="5643" width="0" style="2" hidden="1" customWidth="1"/>
    <col min="5644" max="5651" width="8.85546875" style="2" customWidth="1"/>
    <col min="5652" max="5655" width="9.28515625" style="2" bestFit="1" customWidth="1"/>
    <col min="5656" max="5888" width="9.140625" style="2"/>
    <col min="5889" max="5889" width="2" style="2" customWidth="1"/>
    <col min="5890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20" style="2" customWidth="1"/>
    <col min="5895" max="5899" width="0" style="2" hidden="1" customWidth="1"/>
    <col min="5900" max="5907" width="8.85546875" style="2" customWidth="1"/>
    <col min="5908" max="5911" width="9.28515625" style="2" bestFit="1" customWidth="1"/>
    <col min="5912" max="6144" width="9.140625" style="2"/>
    <col min="6145" max="6145" width="2" style="2" customWidth="1"/>
    <col min="6146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20" style="2" customWidth="1"/>
    <col min="6151" max="6155" width="0" style="2" hidden="1" customWidth="1"/>
    <col min="6156" max="6163" width="8.85546875" style="2" customWidth="1"/>
    <col min="6164" max="6167" width="9.28515625" style="2" bestFit="1" customWidth="1"/>
    <col min="6168" max="6400" width="9.140625" style="2"/>
    <col min="6401" max="6401" width="2" style="2" customWidth="1"/>
    <col min="6402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20" style="2" customWidth="1"/>
    <col min="6407" max="6411" width="0" style="2" hidden="1" customWidth="1"/>
    <col min="6412" max="6419" width="8.85546875" style="2" customWidth="1"/>
    <col min="6420" max="6423" width="9.28515625" style="2" bestFit="1" customWidth="1"/>
    <col min="6424" max="6656" width="9.140625" style="2"/>
    <col min="6657" max="6657" width="2" style="2" customWidth="1"/>
    <col min="6658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20" style="2" customWidth="1"/>
    <col min="6663" max="6667" width="0" style="2" hidden="1" customWidth="1"/>
    <col min="6668" max="6675" width="8.85546875" style="2" customWidth="1"/>
    <col min="6676" max="6679" width="9.28515625" style="2" bestFit="1" customWidth="1"/>
    <col min="6680" max="6912" width="9.140625" style="2"/>
    <col min="6913" max="6913" width="2" style="2" customWidth="1"/>
    <col min="6914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20" style="2" customWidth="1"/>
    <col min="6919" max="6923" width="0" style="2" hidden="1" customWidth="1"/>
    <col min="6924" max="6931" width="8.85546875" style="2" customWidth="1"/>
    <col min="6932" max="6935" width="9.28515625" style="2" bestFit="1" customWidth="1"/>
    <col min="6936" max="7168" width="9.140625" style="2"/>
    <col min="7169" max="7169" width="2" style="2" customWidth="1"/>
    <col min="7170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20" style="2" customWidth="1"/>
    <col min="7175" max="7179" width="0" style="2" hidden="1" customWidth="1"/>
    <col min="7180" max="7187" width="8.85546875" style="2" customWidth="1"/>
    <col min="7188" max="7191" width="9.28515625" style="2" bestFit="1" customWidth="1"/>
    <col min="7192" max="7424" width="9.140625" style="2"/>
    <col min="7425" max="7425" width="2" style="2" customWidth="1"/>
    <col min="7426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20" style="2" customWidth="1"/>
    <col min="7431" max="7435" width="0" style="2" hidden="1" customWidth="1"/>
    <col min="7436" max="7443" width="8.85546875" style="2" customWidth="1"/>
    <col min="7444" max="7447" width="9.28515625" style="2" bestFit="1" customWidth="1"/>
    <col min="7448" max="7680" width="9.140625" style="2"/>
    <col min="7681" max="7681" width="2" style="2" customWidth="1"/>
    <col min="7682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20" style="2" customWidth="1"/>
    <col min="7687" max="7691" width="0" style="2" hidden="1" customWidth="1"/>
    <col min="7692" max="7699" width="8.85546875" style="2" customWidth="1"/>
    <col min="7700" max="7703" width="9.28515625" style="2" bestFit="1" customWidth="1"/>
    <col min="7704" max="7936" width="9.140625" style="2"/>
    <col min="7937" max="7937" width="2" style="2" customWidth="1"/>
    <col min="7938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20" style="2" customWidth="1"/>
    <col min="7943" max="7947" width="0" style="2" hidden="1" customWidth="1"/>
    <col min="7948" max="7955" width="8.85546875" style="2" customWidth="1"/>
    <col min="7956" max="7959" width="9.28515625" style="2" bestFit="1" customWidth="1"/>
    <col min="7960" max="8192" width="9.140625" style="2"/>
    <col min="8193" max="8193" width="2" style="2" customWidth="1"/>
    <col min="8194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20" style="2" customWidth="1"/>
    <col min="8199" max="8203" width="0" style="2" hidden="1" customWidth="1"/>
    <col min="8204" max="8211" width="8.85546875" style="2" customWidth="1"/>
    <col min="8212" max="8215" width="9.28515625" style="2" bestFit="1" customWidth="1"/>
    <col min="8216" max="8448" width="9.140625" style="2"/>
    <col min="8449" max="8449" width="2" style="2" customWidth="1"/>
    <col min="8450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20" style="2" customWidth="1"/>
    <col min="8455" max="8459" width="0" style="2" hidden="1" customWidth="1"/>
    <col min="8460" max="8467" width="8.85546875" style="2" customWidth="1"/>
    <col min="8468" max="8471" width="9.28515625" style="2" bestFit="1" customWidth="1"/>
    <col min="8472" max="8704" width="9.140625" style="2"/>
    <col min="8705" max="8705" width="2" style="2" customWidth="1"/>
    <col min="8706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20" style="2" customWidth="1"/>
    <col min="8711" max="8715" width="0" style="2" hidden="1" customWidth="1"/>
    <col min="8716" max="8723" width="8.85546875" style="2" customWidth="1"/>
    <col min="8724" max="8727" width="9.28515625" style="2" bestFit="1" customWidth="1"/>
    <col min="8728" max="8960" width="9.140625" style="2"/>
    <col min="8961" max="8961" width="2" style="2" customWidth="1"/>
    <col min="8962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20" style="2" customWidth="1"/>
    <col min="8967" max="8971" width="0" style="2" hidden="1" customWidth="1"/>
    <col min="8972" max="8979" width="8.85546875" style="2" customWidth="1"/>
    <col min="8980" max="8983" width="9.28515625" style="2" bestFit="1" customWidth="1"/>
    <col min="8984" max="9216" width="9.140625" style="2"/>
    <col min="9217" max="9217" width="2" style="2" customWidth="1"/>
    <col min="9218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20" style="2" customWidth="1"/>
    <col min="9223" max="9227" width="0" style="2" hidden="1" customWidth="1"/>
    <col min="9228" max="9235" width="8.85546875" style="2" customWidth="1"/>
    <col min="9236" max="9239" width="9.28515625" style="2" bestFit="1" customWidth="1"/>
    <col min="9240" max="9472" width="9.140625" style="2"/>
    <col min="9473" max="9473" width="2" style="2" customWidth="1"/>
    <col min="9474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20" style="2" customWidth="1"/>
    <col min="9479" max="9483" width="0" style="2" hidden="1" customWidth="1"/>
    <col min="9484" max="9491" width="8.85546875" style="2" customWidth="1"/>
    <col min="9492" max="9495" width="9.28515625" style="2" bestFit="1" customWidth="1"/>
    <col min="9496" max="9728" width="9.140625" style="2"/>
    <col min="9729" max="9729" width="2" style="2" customWidth="1"/>
    <col min="9730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20" style="2" customWidth="1"/>
    <col min="9735" max="9739" width="0" style="2" hidden="1" customWidth="1"/>
    <col min="9740" max="9747" width="8.85546875" style="2" customWidth="1"/>
    <col min="9748" max="9751" width="9.28515625" style="2" bestFit="1" customWidth="1"/>
    <col min="9752" max="9984" width="9.140625" style="2"/>
    <col min="9985" max="9985" width="2" style="2" customWidth="1"/>
    <col min="9986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20" style="2" customWidth="1"/>
    <col min="9991" max="9995" width="0" style="2" hidden="1" customWidth="1"/>
    <col min="9996" max="10003" width="8.85546875" style="2" customWidth="1"/>
    <col min="10004" max="10007" width="9.28515625" style="2" bestFit="1" customWidth="1"/>
    <col min="10008" max="10240" width="9.140625" style="2"/>
    <col min="10241" max="10241" width="2" style="2" customWidth="1"/>
    <col min="10242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20" style="2" customWidth="1"/>
    <col min="10247" max="10251" width="0" style="2" hidden="1" customWidth="1"/>
    <col min="10252" max="10259" width="8.85546875" style="2" customWidth="1"/>
    <col min="10260" max="10263" width="9.28515625" style="2" bestFit="1" customWidth="1"/>
    <col min="10264" max="10496" width="9.140625" style="2"/>
    <col min="10497" max="10497" width="2" style="2" customWidth="1"/>
    <col min="10498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20" style="2" customWidth="1"/>
    <col min="10503" max="10507" width="0" style="2" hidden="1" customWidth="1"/>
    <col min="10508" max="10515" width="8.85546875" style="2" customWidth="1"/>
    <col min="10516" max="10519" width="9.28515625" style="2" bestFit="1" customWidth="1"/>
    <col min="10520" max="10752" width="9.140625" style="2"/>
    <col min="10753" max="10753" width="2" style="2" customWidth="1"/>
    <col min="10754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20" style="2" customWidth="1"/>
    <col min="10759" max="10763" width="0" style="2" hidden="1" customWidth="1"/>
    <col min="10764" max="10771" width="8.85546875" style="2" customWidth="1"/>
    <col min="10772" max="10775" width="9.28515625" style="2" bestFit="1" customWidth="1"/>
    <col min="10776" max="11008" width="9.140625" style="2"/>
    <col min="11009" max="11009" width="2" style="2" customWidth="1"/>
    <col min="11010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20" style="2" customWidth="1"/>
    <col min="11015" max="11019" width="0" style="2" hidden="1" customWidth="1"/>
    <col min="11020" max="11027" width="8.85546875" style="2" customWidth="1"/>
    <col min="11028" max="11031" width="9.28515625" style="2" bestFit="1" customWidth="1"/>
    <col min="11032" max="11264" width="9.140625" style="2"/>
    <col min="11265" max="11265" width="2" style="2" customWidth="1"/>
    <col min="11266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20" style="2" customWidth="1"/>
    <col min="11271" max="11275" width="0" style="2" hidden="1" customWidth="1"/>
    <col min="11276" max="11283" width="8.85546875" style="2" customWidth="1"/>
    <col min="11284" max="11287" width="9.28515625" style="2" bestFit="1" customWidth="1"/>
    <col min="11288" max="11520" width="9.140625" style="2"/>
    <col min="11521" max="11521" width="2" style="2" customWidth="1"/>
    <col min="11522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20" style="2" customWidth="1"/>
    <col min="11527" max="11531" width="0" style="2" hidden="1" customWidth="1"/>
    <col min="11532" max="11539" width="8.85546875" style="2" customWidth="1"/>
    <col min="11540" max="11543" width="9.28515625" style="2" bestFit="1" customWidth="1"/>
    <col min="11544" max="11776" width="9.140625" style="2"/>
    <col min="11777" max="11777" width="2" style="2" customWidth="1"/>
    <col min="11778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20" style="2" customWidth="1"/>
    <col min="11783" max="11787" width="0" style="2" hidden="1" customWidth="1"/>
    <col min="11788" max="11795" width="8.85546875" style="2" customWidth="1"/>
    <col min="11796" max="11799" width="9.28515625" style="2" bestFit="1" customWidth="1"/>
    <col min="11800" max="12032" width="9.140625" style="2"/>
    <col min="12033" max="12033" width="2" style="2" customWidth="1"/>
    <col min="12034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20" style="2" customWidth="1"/>
    <col min="12039" max="12043" width="0" style="2" hidden="1" customWidth="1"/>
    <col min="12044" max="12051" width="8.85546875" style="2" customWidth="1"/>
    <col min="12052" max="12055" width="9.28515625" style="2" bestFit="1" customWidth="1"/>
    <col min="12056" max="12288" width="9.140625" style="2"/>
    <col min="12289" max="12289" width="2" style="2" customWidth="1"/>
    <col min="12290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20" style="2" customWidth="1"/>
    <col min="12295" max="12299" width="0" style="2" hidden="1" customWidth="1"/>
    <col min="12300" max="12307" width="8.85546875" style="2" customWidth="1"/>
    <col min="12308" max="12311" width="9.28515625" style="2" bestFit="1" customWidth="1"/>
    <col min="12312" max="12544" width="9.140625" style="2"/>
    <col min="12545" max="12545" width="2" style="2" customWidth="1"/>
    <col min="12546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20" style="2" customWidth="1"/>
    <col min="12551" max="12555" width="0" style="2" hidden="1" customWidth="1"/>
    <col min="12556" max="12563" width="8.85546875" style="2" customWidth="1"/>
    <col min="12564" max="12567" width="9.28515625" style="2" bestFit="1" customWidth="1"/>
    <col min="12568" max="12800" width="9.140625" style="2"/>
    <col min="12801" max="12801" width="2" style="2" customWidth="1"/>
    <col min="12802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20" style="2" customWidth="1"/>
    <col min="12807" max="12811" width="0" style="2" hidden="1" customWidth="1"/>
    <col min="12812" max="12819" width="8.85546875" style="2" customWidth="1"/>
    <col min="12820" max="12823" width="9.28515625" style="2" bestFit="1" customWidth="1"/>
    <col min="12824" max="13056" width="9.140625" style="2"/>
    <col min="13057" max="13057" width="2" style="2" customWidth="1"/>
    <col min="13058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20" style="2" customWidth="1"/>
    <col min="13063" max="13067" width="0" style="2" hidden="1" customWidth="1"/>
    <col min="13068" max="13075" width="8.85546875" style="2" customWidth="1"/>
    <col min="13076" max="13079" width="9.28515625" style="2" bestFit="1" customWidth="1"/>
    <col min="13080" max="13312" width="9.140625" style="2"/>
    <col min="13313" max="13313" width="2" style="2" customWidth="1"/>
    <col min="13314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20" style="2" customWidth="1"/>
    <col min="13319" max="13323" width="0" style="2" hidden="1" customWidth="1"/>
    <col min="13324" max="13331" width="8.85546875" style="2" customWidth="1"/>
    <col min="13332" max="13335" width="9.28515625" style="2" bestFit="1" customWidth="1"/>
    <col min="13336" max="13568" width="9.140625" style="2"/>
    <col min="13569" max="13569" width="2" style="2" customWidth="1"/>
    <col min="13570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20" style="2" customWidth="1"/>
    <col min="13575" max="13579" width="0" style="2" hidden="1" customWidth="1"/>
    <col min="13580" max="13587" width="8.85546875" style="2" customWidth="1"/>
    <col min="13588" max="13591" width="9.28515625" style="2" bestFit="1" customWidth="1"/>
    <col min="13592" max="13824" width="9.140625" style="2"/>
    <col min="13825" max="13825" width="2" style="2" customWidth="1"/>
    <col min="13826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20" style="2" customWidth="1"/>
    <col min="13831" max="13835" width="0" style="2" hidden="1" customWidth="1"/>
    <col min="13836" max="13843" width="8.85546875" style="2" customWidth="1"/>
    <col min="13844" max="13847" width="9.28515625" style="2" bestFit="1" customWidth="1"/>
    <col min="13848" max="14080" width="9.140625" style="2"/>
    <col min="14081" max="14081" width="2" style="2" customWidth="1"/>
    <col min="14082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20" style="2" customWidth="1"/>
    <col min="14087" max="14091" width="0" style="2" hidden="1" customWidth="1"/>
    <col min="14092" max="14099" width="8.85546875" style="2" customWidth="1"/>
    <col min="14100" max="14103" width="9.28515625" style="2" bestFit="1" customWidth="1"/>
    <col min="14104" max="14336" width="9.140625" style="2"/>
    <col min="14337" max="14337" width="2" style="2" customWidth="1"/>
    <col min="14338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20" style="2" customWidth="1"/>
    <col min="14343" max="14347" width="0" style="2" hidden="1" customWidth="1"/>
    <col min="14348" max="14355" width="8.85546875" style="2" customWidth="1"/>
    <col min="14356" max="14359" width="9.28515625" style="2" bestFit="1" customWidth="1"/>
    <col min="14360" max="14592" width="9.140625" style="2"/>
    <col min="14593" max="14593" width="2" style="2" customWidth="1"/>
    <col min="14594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20" style="2" customWidth="1"/>
    <col min="14599" max="14603" width="0" style="2" hidden="1" customWidth="1"/>
    <col min="14604" max="14611" width="8.85546875" style="2" customWidth="1"/>
    <col min="14612" max="14615" width="9.28515625" style="2" bestFit="1" customWidth="1"/>
    <col min="14616" max="14848" width="9.140625" style="2"/>
    <col min="14849" max="14849" width="2" style="2" customWidth="1"/>
    <col min="14850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20" style="2" customWidth="1"/>
    <col min="14855" max="14859" width="0" style="2" hidden="1" customWidth="1"/>
    <col min="14860" max="14867" width="8.85546875" style="2" customWidth="1"/>
    <col min="14868" max="14871" width="9.28515625" style="2" bestFit="1" customWidth="1"/>
    <col min="14872" max="15104" width="9.140625" style="2"/>
    <col min="15105" max="15105" width="2" style="2" customWidth="1"/>
    <col min="15106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20" style="2" customWidth="1"/>
    <col min="15111" max="15115" width="0" style="2" hidden="1" customWidth="1"/>
    <col min="15116" max="15123" width="8.85546875" style="2" customWidth="1"/>
    <col min="15124" max="15127" width="9.28515625" style="2" bestFit="1" customWidth="1"/>
    <col min="15128" max="15360" width="9.140625" style="2"/>
    <col min="15361" max="15361" width="2" style="2" customWidth="1"/>
    <col min="15362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20" style="2" customWidth="1"/>
    <col min="15367" max="15371" width="0" style="2" hidden="1" customWidth="1"/>
    <col min="15372" max="15379" width="8.85546875" style="2" customWidth="1"/>
    <col min="15380" max="15383" width="9.28515625" style="2" bestFit="1" customWidth="1"/>
    <col min="15384" max="15616" width="9.140625" style="2"/>
    <col min="15617" max="15617" width="2" style="2" customWidth="1"/>
    <col min="15618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20" style="2" customWidth="1"/>
    <col min="15623" max="15627" width="0" style="2" hidden="1" customWidth="1"/>
    <col min="15628" max="15635" width="8.85546875" style="2" customWidth="1"/>
    <col min="15636" max="15639" width="9.28515625" style="2" bestFit="1" customWidth="1"/>
    <col min="15640" max="15872" width="9.140625" style="2"/>
    <col min="15873" max="15873" width="2" style="2" customWidth="1"/>
    <col min="15874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20" style="2" customWidth="1"/>
    <col min="15879" max="15883" width="0" style="2" hidden="1" customWidth="1"/>
    <col min="15884" max="15891" width="8.85546875" style="2" customWidth="1"/>
    <col min="15892" max="15895" width="9.28515625" style="2" bestFit="1" customWidth="1"/>
    <col min="15896" max="16128" width="9.140625" style="2"/>
    <col min="16129" max="16129" width="2" style="2" customWidth="1"/>
    <col min="16130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20" style="2" customWidth="1"/>
    <col min="16135" max="16139" width="0" style="2" hidden="1" customWidth="1"/>
    <col min="16140" max="16147" width="8.85546875" style="2" customWidth="1"/>
    <col min="16148" max="16151" width="9.28515625" style="2" bestFit="1" customWidth="1"/>
    <col min="16152" max="16384" width="9.140625" style="2"/>
  </cols>
  <sheetData>
    <row r="1" spans="1:23">
      <c r="A1" s="1" t="s">
        <v>25</v>
      </c>
    </row>
    <row r="2" spans="1:23">
      <c r="A2" s="1" t="s">
        <v>74</v>
      </c>
      <c r="F2" s="1" t="s">
        <v>35</v>
      </c>
    </row>
    <row r="3" spans="1:23">
      <c r="A3" s="2" t="s">
        <v>0</v>
      </c>
      <c r="L3" s="2" t="s">
        <v>35</v>
      </c>
    </row>
    <row r="4" spans="1:23" ht="12" customHeight="1">
      <c r="L4" s="9"/>
      <c r="N4" s="9"/>
      <c r="Q4" s="9"/>
      <c r="R4" s="9"/>
      <c r="S4" s="9"/>
      <c r="T4" s="9"/>
      <c r="V4" s="9"/>
    </row>
    <row r="5" spans="1:23" ht="18" customHeight="1">
      <c r="A5" s="177" t="s">
        <v>1</v>
      </c>
      <c r="B5" s="178"/>
      <c r="C5" s="178"/>
      <c r="D5" s="178"/>
      <c r="E5" s="178"/>
      <c r="F5" s="178"/>
      <c r="G5" s="76" t="s">
        <v>28</v>
      </c>
      <c r="H5" s="76" t="s">
        <v>29</v>
      </c>
      <c r="I5" s="76" t="s">
        <v>39</v>
      </c>
      <c r="J5" s="76" t="s">
        <v>31</v>
      </c>
      <c r="K5" s="76" t="s">
        <v>32</v>
      </c>
      <c r="L5" s="77" t="s">
        <v>5</v>
      </c>
      <c r="M5" s="77" t="s">
        <v>75</v>
      </c>
      <c r="N5" s="76" t="s">
        <v>24</v>
      </c>
      <c r="O5" s="77" t="s">
        <v>26</v>
      </c>
      <c r="P5" s="77" t="s">
        <v>27</v>
      </c>
      <c r="Q5" s="77" t="s">
        <v>36</v>
      </c>
      <c r="R5" s="76" t="s">
        <v>28</v>
      </c>
      <c r="S5" s="76" t="s">
        <v>29</v>
      </c>
      <c r="T5" s="76" t="s">
        <v>39</v>
      </c>
      <c r="U5" s="77" t="s">
        <v>31</v>
      </c>
      <c r="V5" s="77" t="s">
        <v>32</v>
      </c>
      <c r="W5" s="78" t="s">
        <v>33</v>
      </c>
    </row>
    <row r="6" spans="1:23" ht="9" customHeight="1"/>
    <row r="7" spans="1:23">
      <c r="A7" s="1" t="s">
        <v>17</v>
      </c>
      <c r="E7" s="1"/>
      <c r="G7" s="41">
        <v>0</v>
      </c>
      <c r="H7" s="41" t="e">
        <v>#REF!</v>
      </c>
      <c r="I7" s="41" t="e">
        <v>#REF!</v>
      </c>
      <c r="J7" s="41" t="e">
        <v>#REF!</v>
      </c>
      <c r="K7" s="41" t="e">
        <v>#REF!</v>
      </c>
      <c r="L7" s="41">
        <v>3410358</v>
      </c>
      <c r="M7" s="41">
        <v>3407109</v>
      </c>
      <c r="N7" s="41">
        <v>3464582</v>
      </c>
      <c r="O7" s="41">
        <v>3481245</v>
      </c>
      <c r="P7" s="41">
        <v>3522922</v>
      </c>
      <c r="Q7" s="41">
        <v>3536824</v>
      </c>
      <c r="R7" s="41">
        <v>3578528</v>
      </c>
      <c r="S7" s="41">
        <v>3629165</v>
      </c>
      <c r="T7" s="41">
        <v>3729013</v>
      </c>
      <c r="U7" s="41">
        <v>3754626</v>
      </c>
      <c r="V7" s="41">
        <v>3801261.0676500001</v>
      </c>
      <c r="W7" s="41">
        <v>3811954</v>
      </c>
    </row>
    <row r="8" spans="1:23" ht="7.5" customHeight="1"/>
    <row r="9" spans="1:23">
      <c r="A9" s="1"/>
      <c r="B9" s="1" t="s">
        <v>59</v>
      </c>
      <c r="C9" s="1"/>
      <c r="D9" s="1"/>
      <c r="E9" s="1"/>
      <c r="F9" s="1"/>
      <c r="G9" s="1"/>
      <c r="H9" s="13" t="e">
        <v>#REF!</v>
      </c>
      <c r="I9" s="13" t="e">
        <v>#REF!</v>
      </c>
      <c r="J9" s="13" t="e">
        <v>#REF!</v>
      </c>
      <c r="K9" s="13" t="e">
        <v>#REF!</v>
      </c>
      <c r="L9" s="13">
        <v>1740652</v>
      </c>
      <c r="M9" s="13">
        <v>1755330</v>
      </c>
      <c r="N9" s="13">
        <v>1762747</v>
      </c>
      <c r="O9" s="13">
        <v>1798338</v>
      </c>
      <c r="P9" s="13">
        <v>1822569</v>
      </c>
      <c r="Q9" s="13">
        <v>1833495</v>
      </c>
      <c r="R9" s="13">
        <v>1886444</v>
      </c>
      <c r="S9" s="13">
        <v>1900521</v>
      </c>
      <c r="T9" s="13">
        <v>1960780</v>
      </c>
      <c r="U9" s="13">
        <v>1960531</v>
      </c>
      <c r="V9" s="13">
        <v>1993109</v>
      </c>
      <c r="W9" s="13">
        <v>2001220</v>
      </c>
    </row>
    <row r="10" spans="1:23">
      <c r="C10" s="2" t="s">
        <v>9</v>
      </c>
      <c r="G10" s="14" t="e">
        <v>#REF!</v>
      </c>
      <c r="H10" s="14" t="e">
        <v>#REF!</v>
      </c>
      <c r="I10" s="14" t="e">
        <v>#REF!</v>
      </c>
      <c r="J10" s="14" t="e">
        <v>#REF!</v>
      </c>
      <c r="K10" s="14" t="e">
        <v>#REF!</v>
      </c>
      <c r="L10" s="14">
        <v>1738355</v>
      </c>
      <c r="M10" s="14">
        <v>1753033</v>
      </c>
      <c r="N10" s="14">
        <v>1760450</v>
      </c>
      <c r="O10" s="14">
        <v>1796041</v>
      </c>
      <c r="P10" s="14">
        <v>1820272</v>
      </c>
      <c r="Q10" s="14">
        <v>1831198</v>
      </c>
      <c r="R10" s="14">
        <v>1884150</v>
      </c>
      <c r="S10" s="14">
        <v>1898227</v>
      </c>
      <c r="T10" s="14">
        <v>1958486</v>
      </c>
      <c r="U10" s="14">
        <v>1958237</v>
      </c>
      <c r="V10" s="14">
        <v>1990815</v>
      </c>
      <c r="W10" s="14">
        <v>1998926</v>
      </c>
    </row>
    <row r="11" spans="1:23">
      <c r="D11" s="2" t="s">
        <v>88</v>
      </c>
      <c r="G11" s="14" t="e">
        <v>#REF!</v>
      </c>
      <c r="H11" s="14" t="e">
        <v>#REF!</v>
      </c>
      <c r="I11" s="14" t="e">
        <v>#REF!</v>
      </c>
      <c r="J11" s="14" t="e">
        <v>#REF!</v>
      </c>
      <c r="K11" s="14" t="e">
        <v>#REF!</v>
      </c>
      <c r="L11" s="15">
        <v>1722794</v>
      </c>
      <c r="M11" s="15">
        <v>1737472</v>
      </c>
      <c r="N11" s="15">
        <v>1744889</v>
      </c>
      <c r="O11" s="15">
        <v>1780475</v>
      </c>
      <c r="P11" s="15">
        <v>1804712</v>
      </c>
      <c r="Q11" s="15">
        <v>1815637</v>
      </c>
      <c r="R11" s="15">
        <v>1868617</v>
      </c>
      <c r="S11" s="15">
        <v>1869424</v>
      </c>
      <c r="T11" s="15">
        <v>1929685</v>
      </c>
      <c r="U11" s="15">
        <v>1929936</v>
      </c>
      <c r="V11" s="15">
        <v>1962515</v>
      </c>
      <c r="W11" s="15">
        <v>1970626</v>
      </c>
    </row>
    <row r="12" spans="1:23">
      <c r="D12" s="2" t="s">
        <v>2</v>
      </c>
      <c r="L12" s="15">
        <v>15561</v>
      </c>
      <c r="M12" s="15">
        <v>15561</v>
      </c>
      <c r="N12" s="15">
        <v>15561</v>
      </c>
      <c r="O12" s="15">
        <v>15566</v>
      </c>
      <c r="P12" s="15">
        <v>15560</v>
      </c>
      <c r="Q12" s="15">
        <v>15561</v>
      </c>
      <c r="R12" s="15">
        <v>15533</v>
      </c>
      <c r="S12" s="15">
        <v>28803</v>
      </c>
      <c r="T12" s="15">
        <v>28801</v>
      </c>
      <c r="U12" s="15">
        <v>28301</v>
      </c>
      <c r="V12" s="15">
        <v>28300</v>
      </c>
      <c r="W12" s="15">
        <v>28300</v>
      </c>
    </row>
    <row r="13" spans="1:23">
      <c r="D13" s="2" t="s">
        <v>3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ht="7.5" customHeight="1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C15" s="2" t="s">
        <v>60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2297</v>
      </c>
      <c r="M15" s="14">
        <v>2297</v>
      </c>
      <c r="N15" s="14">
        <v>2297</v>
      </c>
      <c r="O15" s="14">
        <v>2297</v>
      </c>
      <c r="P15" s="14">
        <v>2297</v>
      </c>
      <c r="Q15" s="14">
        <v>2297</v>
      </c>
      <c r="R15" s="14">
        <v>2294</v>
      </c>
      <c r="S15" s="14">
        <v>2294</v>
      </c>
      <c r="T15" s="14">
        <v>2294</v>
      </c>
      <c r="U15" s="14">
        <v>2294</v>
      </c>
      <c r="V15" s="14">
        <v>2294</v>
      </c>
      <c r="W15" s="14">
        <v>2294</v>
      </c>
    </row>
    <row r="16" spans="1:23" hidden="1">
      <c r="D16" s="2" t="s">
        <v>12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</row>
    <row r="17" spans="1:23">
      <c r="D17" s="2" t="s">
        <v>13</v>
      </c>
      <c r="L17" s="15">
        <v>2291</v>
      </c>
      <c r="M17" s="15">
        <v>2291</v>
      </c>
      <c r="N17" s="15">
        <v>2291</v>
      </c>
      <c r="O17" s="15">
        <v>2291</v>
      </c>
      <c r="P17" s="15">
        <v>2291</v>
      </c>
      <c r="Q17" s="15">
        <v>2291</v>
      </c>
      <c r="R17" s="15">
        <v>2288</v>
      </c>
      <c r="S17" s="15">
        <v>2288</v>
      </c>
      <c r="T17" s="15">
        <v>2288</v>
      </c>
      <c r="U17" s="15">
        <v>2288</v>
      </c>
      <c r="V17" s="15">
        <v>2288</v>
      </c>
      <c r="W17" s="15">
        <v>2288</v>
      </c>
    </row>
    <row r="18" spans="1:23" hidden="1">
      <c r="D18" s="2" t="s">
        <v>14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>
      <c r="D19" s="2" t="s">
        <v>15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  <c r="R19" s="15">
        <v>6</v>
      </c>
      <c r="S19" s="15">
        <v>6</v>
      </c>
      <c r="T19" s="15">
        <v>6</v>
      </c>
      <c r="U19" s="15">
        <v>6</v>
      </c>
      <c r="V19" s="15">
        <v>6</v>
      </c>
      <c r="W19" s="15">
        <v>6</v>
      </c>
    </row>
    <row r="20" spans="1:23" ht="7.5" customHeight="1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"/>
      <c r="B21" s="1" t="s">
        <v>125</v>
      </c>
      <c r="C21" s="1"/>
      <c r="D21" s="1"/>
      <c r="E21" s="1"/>
      <c r="F21" s="1"/>
      <c r="G21" s="1"/>
      <c r="H21" s="13" t="e">
        <v>#REF!</v>
      </c>
      <c r="I21" s="13" t="e">
        <v>#REF!</v>
      </c>
      <c r="J21" s="13" t="e">
        <v>#REF!</v>
      </c>
      <c r="K21" s="13" t="e">
        <v>#REF!</v>
      </c>
      <c r="L21" s="13">
        <v>1669706</v>
      </c>
      <c r="M21" s="13">
        <v>1651779</v>
      </c>
      <c r="N21" s="13">
        <v>1701835</v>
      </c>
      <c r="O21" s="13">
        <v>1682907</v>
      </c>
      <c r="P21" s="13">
        <v>1700353</v>
      </c>
      <c r="Q21" s="13">
        <v>1703329</v>
      </c>
      <c r="R21" s="13">
        <v>1692084</v>
      </c>
      <c r="S21" s="13">
        <v>1728644</v>
      </c>
      <c r="T21" s="13">
        <v>1768233</v>
      </c>
      <c r="U21" s="13">
        <v>1794095</v>
      </c>
      <c r="V21" s="13">
        <v>1808152.0676500001</v>
      </c>
      <c r="W21" s="13">
        <v>1810734</v>
      </c>
    </row>
    <row r="22" spans="1:23">
      <c r="C22" s="2" t="s">
        <v>9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828522</v>
      </c>
      <c r="M22" s="14">
        <v>808897</v>
      </c>
      <c r="N22" s="14">
        <v>829818</v>
      </c>
      <c r="O22" s="14">
        <v>807714</v>
      </c>
      <c r="P22" s="14">
        <v>803822</v>
      </c>
      <c r="Q22" s="14">
        <v>814295</v>
      </c>
      <c r="R22" s="14">
        <v>795532</v>
      </c>
      <c r="S22" s="14">
        <v>803960</v>
      </c>
      <c r="T22" s="14">
        <v>807190</v>
      </c>
      <c r="U22" s="14">
        <v>828138</v>
      </c>
      <c r="V22" s="14">
        <v>840294</v>
      </c>
      <c r="W22" s="14">
        <v>841096</v>
      </c>
    </row>
    <row r="23" spans="1:23">
      <c r="D23" s="2" t="s">
        <v>2</v>
      </c>
      <c r="L23" s="15">
        <v>713008</v>
      </c>
      <c r="M23" s="15">
        <v>696295</v>
      </c>
      <c r="N23" s="15">
        <v>712456</v>
      </c>
      <c r="O23" s="15">
        <v>695125</v>
      </c>
      <c r="P23" s="15">
        <v>692244</v>
      </c>
      <c r="Q23" s="15">
        <v>700679</v>
      </c>
      <c r="R23" s="15">
        <v>685913</v>
      </c>
      <c r="S23" s="15">
        <v>692445</v>
      </c>
      <c r="T23" s="15">
        <v>690996</v>
      </c>
      <c r="U23" s="15">
        <v>707368</v>
      </c>
      <c r="V23" s="15">
        <v>716792</v>
      </c>
      <c r="W23" s="15">
        <v>718844</v>
      </c>
    </row>
    <row r="24" spans="1:23">
      <c r="D24" s="2" t="s">
        <v>3</v>
      </c>
      <c r="L24" s="15">
        <v>115514</v>
      </c>
      <c r="M24" s="15">
        <v>112602</v>
      </c>
      <c r="N24" s="15">
        <v>117362</v>
      </c>
      <c r="O24" s="15">
        <v>112589</v>
      </c>
      <c r="P24" s="15">
        <v>111578</v>
      </c>
      <c r="Q24" s="15">
        <v>113616</v>
      </c>
      <c r="R24" s="15">
        <v>109619</v>
      </c>
      <c r="S24" s="15">
        <v>111515</v>
      </c>
      <c r="T24" s="15">
        <v>116194</v>
      </c>
      <c r="U24" s="15">
        <v>120770</v>
      </c>
      <c r="V24" s="15">
        <v>123502</v>
      </c>
      <c r="W24" s="15">
        <v>122252</v>
      </c>
    </row>
    <row r="25" spans="1:23" ht="7.5" customHeight="1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C26" s="2" t="s">
        <v>60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6942</v>
      </c>
      <c r="M26" s="14">
        <v>6961</v>
      </c>
      <c r="N26" s="14">
        <v>6952</v>
      </c>
      <c r="O26" s="14">
        <v>6873</v>
      </c>
      <c r="P26" s="14">
        <v>6856</v>
      </c>
      <c r="Q26" s="14">
        <v>6904</v>
      </c>
      <c r="R26" s="14">
        <v>5757</v>
      </c>
      <c r="S26" s="14">
        <v>5784</v>
      </c>
      <c r="T26" s="14">
        <v>5799</v>
      </c>
      <c r="U26" s="14">
        <v>5815</v>
      </c>
      <c r="V26" s="14">
        <v>5784.06765</v>
      </c>
      <c r="W26" s="14">
        <v>5792</v>
      </c>
    </row>
    <row r="27" spans="1:23">
      <c r="D27" s="2" t="s">
        <v>12</v>
      </c>
      <c r="L27" s="15">
        <v>48</v>
      </c>
      <c r="M27" s="15">
        <v>48</v>
      </c>
      <c r="N27" s="15">
        <v>48</v>
      </c>
      <c r="O27" s="15">
        <v>48</v>
      </c>
      <c r="P27" s="15">
        <v>48</v>
      </c>
      <c r="Q27" s="15">
        <v>48</v>
      </c>
      <c r="R27" s="15">
        <v>40</v>
      </c>
      <c r="S27" s="15">
        <v>40</v>
      </c>
      <c r="T27" s="15">
        <v>40</v>
      </c>
      <c r="U27" s="15">
        <v>40</v>
      </c>
      <c r="V27" s="15">
        <v>40.259549999999997</v>
      </c>
      <c r="W27" s="15">
        <v>40</v>
      </c>
    </row>
    <row r="28" spans="1:23">
      <c r="D28" s="2" t="s">
        <v>13</v>
      </c>
      <c r="L28" s="15">
        <v>1172</v>
      </c>
      <c r="M28" s="15">
        <v>1168</v>
      </c>
      <c r="N28" s="15">
        <v>1178</v>
      </c>
      <c r="O28" s="15">
        <v>1160</v>
      </c>
      <c r="P28" s="15">
        <v>1157</v>
      </c>
      <c r="Q28" s="15">
        <v>1169</v>
      </c>
      <c r="R28" s="15">
        <v>966</v>
      </c>
      <c r="S28" s="15">
        <v>975</v>
      </c>
      <c r="T28" s="15">
        <v>976</v>
      </c>
      <c r="U28" s="15">
        <v>987</v>
      </c>
      <c r="V28" s="15">
        <v>994.24805000000003</v>
      </c>
      <c r="W28" s="15">
        <v>997</v>
      </c>
    </row>
    <row r="29" spans="1:23">
      <c r="D29" s="2" t="s">
        <v>14</v>
      </c>
      <c r="L29" s="15">
        <v>5411</v>
      </c>
      <c r="M29" s="15">
        <v>5432</v>
      </c>
      <c r="N29" s="15">
        <v>5440</v>
      </c>
      <c r="O29" s="15">
        <v>5407</v>
      </c>
      <c r="P29" s="15">
        <v>5393</v>
      </c>
      <c r="Q29" s="15">
        <v>5428</v>
      </c>
      <c r="R29" s="15">
        <v>4505</v>
      </c>
      <c r="S29" s="15">
        <v>4522</v>
      </c>
      <c r="T29" s="15">
        <v>4534</v>
      </c>
      <c r="U29" s="15">
        <v>4537</v>
      </c>
      <c r="V29" s="15">
        <v>4523.2755500000003</v>
      </c>
      <c r="W29" s="15">
        <v>4531</v>
      </c>
    </row>
    <row r="30" spans="1:23">
      <c r="D30" s="2" t="s">
        <v>15</v>
      </c>
      <c r="L30" s="15">
        <v>269</v>
      </c>
      <c r="M30" s="15">
        <v>271</v>
      </c>
      <c r="N30" s="15">
        <v>244</v>
      </c>
      <c r="O30" s="15">
        <v>217</v>
      </c>
      <c r="P30" s="15">
        <v>217</v>
      </c>
      <c r="Q30" s="15">
        <v>218</v>
      </c>
      <c r="R30" s="15">
        <v>212</v>
      </c>
      <c r="S30" s="15">
        <v>213</v>
      </c>
      <c r="T30" s="15">
        <v>214</v>
      </c>
      <c r="U30" s="15">
        <v>216</v>
      </c>
      <c r="V30" s="15">
        <v>190.96614999999997</v>
      </c>
      <c r="W30" s="15">
        <v>188</v>
      </c>
    </row>
    <row r="31" spans="1:23">
      <c r="D31" s="2" t="s">
        <v>16</v>
      </c>
      <c r="L31" s="15">
        <v>42</v>
      </c>
      <c r="M31" s="15">
        <v>42</v>
      </c>
      <c r="N31" s="15">
        <v>42</v>
      </c>
      <c r="O31" s="15">
        <v>41</v>
      </c>
      <c r="P31" s="15">
        <v>41</v>
      </c>
      <c r="Q31" s="15">
        <v>41</v>
      </c>
      <c r="R31" s="15">
        <v>34</v>
      </c>
      <c r="S31" s="15">
        <v>34</v>
      </c>
      <c r="T31" s="15">
        <v>35</v>
      </c>
      <c r="U31" s="15">
        <v>35</v>
      </c>
      <c r="V31" s="15">
        <v>35.318350000000002</v>
      </c>
      <c r="W31" s="15">
        <v>36</v>
      </c>
    </row>
    <row r="32" spans="1:23" ht="7.5" customHeight="1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C33" s="2" t="s">
        <v>66</v>
      </c>
      <c r="L33" s="15">
        <v>834242</v>
      </c>
      <c r="M33" s="15">
        <v>835921</v>
      </c>
      <c r="N33" s="15">
        <v>865065</v>
      </c>
      <c r="O33" s="15">
        <v>868320</v>
      </c>
      <c r="P33" s="15">
        <v>889675</v>
      </c>
      <c r="Q33" s="15">
        <v>882130</v>
      </c>
      <c r="R33" s="15">
        <v>890795</v>
      </c>
      <c r="S33" s="15">
        <v>918900</v>
      </c>
      <c r="T33" s="15">
        <v>955244</v>
      </c>
      <c r="U33" s="15">
        <v>960142</v>
      </c>
      <c r="V33" s="15">
        <v>962074</v>
      </c>
      <c r="W33" s="15">
        <v>963846</v>
      </c>
    </row>
    <row r="34" spans="1:23">
      <c r="A34" s="9"/>
      <c r="B34" s="9"/>
      <c r="C34" s="9"/>
      <c r="D34" s="9"/>
      <c r="E34" s="9"/>
      <c r="F34" s="9"/>
    </row>
    <row r="35" spans="1:23">
      <c r="A35" s="2" t="s">
        <v>67</v>
      </c>
    </row>
    <row r="36" spans="1:23">
      <c r="A36" s="1"/>
    </row>
    <row r="37" spans="1:23">
      <c r="A37" s="79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>
        <v>56</v>
      </c>
      <c r="M37" s="79">
        <v>56.25</v>
      </c>
      <c r="N37" s="79">
        <v>56.3</v>
      </c>
      <c r="O37" s="79">
        <v>56</v>
      </c>
      <c r="P37" s="79">
        <v>55.85</v>
      </c>
      <c r="Q37" s="79">
        <v>56.2</v>
      </c>
      <c r="R37" s="79">
        <v>56</v>
      </c>
      <c r="S37" s="79">
        <v>56.2</v>
      </c>
      <c r="T37" s="79">
        <v>56.35</v>
      </c>
      <c r="U37" s="79">
        <v>56.35</v>
      </c>
      <c r="V37" s="79">
        <v>56.15</v>
      </c>
      <c r="W37" s="79">
        <v>56.25</v>
      </c>
    </row>
    <row r="38" spans="1:2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</row>
    <row r="39" spans="1:23">
      <c r="A39" s="11" t="s">
        <v>22</v>
      </c>
      <c r="G39" s="2"/>
      <c r="H39" s="2"/>
      <c r="I39" s="2"/>
      <c r="J39" s="2"/>
      <c r="K39" s="2"/>
    </row>
    <row r="40" spans="1:23">
      <c r="A40" s="11" t="s">
        <v>68</v>
      </c>
      <c r="G40" s="2"/>
      <c r="H40" s="2"/>
      <c r="I40" s="2"/>
      <c r="J40" s="2"/>
      <c r="K40" s="2"/>
    </row>
    <row r="41" spans="1:23">
      <c r="A41" s="11" t="s">
        <v>76</v>
      </c>
      <c r="G41" s="2"/>
      <c r="H41" s="2"/>
      <c r="I41" s="2"/>
      <c r="J41" s="2"/>
      <c r="K41" s="2"/>
    </row>
    <row r="42" spans="1:2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</row>
    <row r="43" spans="1:23">
      <c r="A43" s="11"/>
      <c r="F43" s="11"/>
    </row>
    <row r="44" spans="1:23">
      <c r="F44" s="11"/>
    </row>
    <row r="45" spans="1:23">
      <c r="A45" s="11" t="s">
        <v>35</v>
      </c>
      <c r="F45" s="11"/>
    </row>
    <row r="46" spans="1:23">
      <c r="F46" s="11"/>
    </row>
    <row r="53" spans="12:12">
      <c r="L53" s="79"/>
    </row>
    <row r="54" spans="12:12">
      <c r="L54" s="11"/>
    </row>
    <row r="55" spans="12:12">
      <c r="L55" s="11"/>
    </row>
    <row r="56" spans="12:12">
      <c r="L56" s="11"/>
    </row>
    <row r="57" spans="12:12">
      <c r="L57" s="15"/>
    </row>
  </sheetData>
  <mergeCells count="1">
    <mergeCell ref="A5:F5"/>
  </mergeCells>
  <pageMargins left="0.55118110236220474" right="0" top="0.78740157480314965" bottom="0" header="0" footer="0"/>
  <pageSetup paperSize="9" scale="66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D853-CADC-4E5C-A18D-C0234D0967B9}">
  <sheetPr>
    <pageSetUpPr fitToPage="1"/>
  </sheetPr>
  <dimension ref="A1:R51"/>
  <sheetViews>
    <sheetView workbookViewId="0">
      <selection activeCell="J27" sqref="J27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>
      <c r="A1" s="6" t="s">
        <v>133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>
      <c r="A2" s="6" t="s">
        <v>74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>
      <c r="G4" s="9"/>
      <c r="I4" s="9"/>
      <c r="L4" s="9"/>
      <c r="M4" s="9"/>
      <c r="N4" s="9"/>
      <c r="O4" s="9"/>
      <c r="Q4" s="9"/>
    </row>
    <row r="5" spans="1:18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6" t="s">
        <v>28</v>
      </c>
      <c r="N5" s="76" t="s">
        <v>29</v>
      </c>
      <c r="O5" s="77" t="s">
        <v>39</v>
      </c>
      <c r="P5" s="77" t="s">
        <v>31</v>
      </c>
      <c r="Q5" s="77" t="s">
        <v>32</v>
      </c>
      <c r="R5" s="78" t="s">
        <v>33</v>
      </c>
    </row>
    <row r="6" spans="1:18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+G9+G16</f>
        <v>713220.42700000003</v>
      </c>
      <c r="H7" s="126">
        <f t="shared" si="0"/>
        <v>723372.42700000003</v>
      </c>
      <c r="I7" s="126">
        <f t="shared" si="0"/>
        <v>750168.42700000003</v>
      </c>
      <c r="J7" s="126">
        <f t="shared" si="0"/>
        <v>728659.42700000003</v>
      </c>
      <c r="K7" s="126">
        <f t="shared" si="0"/>
        <v>749259.42700000003</v>
      </c>
      <c r="L7" s="126">
        <f t="shared" si="0"/>
        <v>760080.42700000003</v>
      </c>
      <c r="M7" s="126">
        <f t="shared" si="0"/>
        <v>760153.42700000003</v>
      </c>
      <c r="N7" s="126">
        <f t="shared" si="0"/>
        <v>772515.42700000003</v>
      </c>
      <c r="O7" s="126">
        <f t="shared" si="0"/>
        <v>812344.42700000003</v>
      </c>
      <c r="P7" s="126">
        <f t="shared" si="0"/>
        <v>824555.42700000003</v>
      </c>
      <c r="Q7" s="126">
        <f t="shared" si="0"/>
        <v>832942.15855000005</v>
      </c>
      <c r="R7" s="126">
        <f t="shared" si="0"/>
        <v>833707.81900000002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>+G11+G12</f>
        <v>22640.427</v>
      </c>
      <c r="H9" s="13">
        <f>+H11+H12+1</f>
        <v>22640.427</v>
      </c>
      <c r="I9" s="13">
        <f>+I11+I12+1</f>
        <v>35182.427000000003</v>
      </c>
      <c r="J9" s="13">
        <f t="shared" ref="J9:O9" si="1">+J11+J12</f>
        <v>30166.427</v>
      </c>
      <c r="K9" s="13">
        <f t="shared" si="1"/>
        <v>30153.427</v>
      </c>
      <c r="L9" s="13">
        <f t="shared" si="1"/>
        <v>30163.427</v>
      </c>
      <c r="M9" s="13">
        <f t="shared" si="1"/>
        <v>31372.427</v>
      </c>
      <c r="N9" s="13">
        <f t="shared" si="1"/>
        <v>32020.427</v>
      </c>
      <c r="O9" s="13">
        <f t="shared" si="1"/>
        <v>32022.427</v>
      </c>
      <c r="P9" s="13">
        <f>+P11+P12</f>
        <v>32840.427000000003</v>
      </c>
      <c r="Q9" s="13">
        <f>+Q11+Q12</f>
        <v>33139.427000000003</v>
      </c>
      <c r="R9" s="13">
        <f>+R11+R12</f>
        <v>33134.819000000003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22457</v>
      </c>
      <c r="H11" s="15">
        <f>22456</f>
        <v>22456</v>
      </c>
      <c r="I11" s="15">
        <v>34998</v>
      </c>
      <c r="J11" s="15">
        <v>29983</v>
      </c>
      <c r="K11" s="15">
        <v>29970</v>
      </c>
      <c r="L11" s="15">
        <v>29980</v>
      </c>
      <c r="M11" s="15">
        <v>31189</v>
      </c>
      <c r="N11" s="15">
        <v>31837</v>
      </c>
      <c r="O11" s="15">
        <v>31839</v>
      </c>
      <c r="P11" s="15">
        <v>32657</v>
      </c>
      <c r="Q11" s="15">
        <v>32956</v>
      </c>
      <c r="R11" s="15">
        <v>32951.392</v>
      </c>
    </row>
    <row r="12" spans="1:18">
      <c r="B12" s="2" t="s">
        <v>135</v>
      </c>
      <c r="G12" s="14">
        <f t="shared" ref="G12:R12" si="2">+SUM(G13:G14)</f>
        <v>183.42699999999999</v>
      </c>
      <c r="H12" s="14">
        <f t="shared" si="2"/>
        <v>183.42699999999999</v>
      </c>
      <c r="I12" s="14">
        <f t="shared" si="2"/>
        <v>183.42699999999999</v>
      </c>
      <c r="J12" s="14">
        <f t="shared" si="2"/>
        <v>183.42699999999999</v>
      </c>
      <c r="K12" s="14">
        <f t="shared" si="2"/>
        <v>183.42699999999999</v>
      </c>
      <c r="L12" s="14">
        <f t="shared" si="2"/>
        <v>183.42699999999999</v>
      </c>
      <c r="M12" s="14">
        <f t="shared" si="2"/>
        <v>183.42699999999999</v>
      </c>
      <c r="N12" s="14">
        <f t="shared" si="2"/>
        <v>183.42699999999999</v>
      </c>
      <c r="O12" s="14">
        <f t="shared" si="2"/>
        <v>183.42699999999999</v>
      </c>
      <c r="P12" s="14">
        <f t="shared" si="2"/>
        <v>183.42699999999999</v>
      </c>
      <c r="Q12" s="14">
        <f t="shared" si="2"/>
        <v>183.42699999999999</v>
      </c>
      <c r="R12" s="14">
        <f t="shared" si="2"/>
        <v>183.42699999999999</v>
      </c>
    </row>
    <row r="13" spans="1:18">
      <c r="C13" s="2" t="s">
        <v>13</v>
      </c>
      <c r="G13" s="15">
        <v>36.826000000000001</v>
      </c>
      <c r="H13" s="15">
        <v>36.826000000000001</v>
      </c>
      <c r="I13" s="15">
        <v>36.826000000000001</v>
      </c>
      <c r="J13" s="15">
        <v>36.826000000000001</v>
      </c>
      <c r="K13" s="15">
        <v>36.826000000000001</v>
      </c>
      <c r="L13" s="15">
        <v>36.826000000000001</v>
      </c>
      <c r="M13" s="15">
        <v>36.826000000000001</v>
      </c>
      <c r="N13" s="15">
        <v>36.826000000000001</v>
      </c>
      <c r="O13" s="15">
        <v>36.826000000000001</v>
      </c>
      <c r="P13" s="15">
        <v>36.826000000000001</v>
      </c>
      <c r="Q13" s="15">
        <v>36.826000000000001</v>
      </c>
      <c r="R13" s="15">
        <v>36.826000000000001</v>
      </c>
    </row>
    <row r="14" spans="1:18">
      <c r="C14" s="2" t="s">
        <v>15</v>
      </c>
      <c r="G14" s="15">
        <v>146.601</v>
      </c>
      <c r="H14" s="15">
        <v>146.601</v>
      </c>
      <c r="I14" s="15">
        <v>146.601</v>
      </c>
      <c r="J14" s="15">
        <v>146.601</v>
      </c>
      <c r="K14" s="15">
        <v>146.601</v>
      </c>
      <c r="L14" s="15">
        <v>146.601</v>
      </c>
      <c r="M14" s="15">
        <v>146.601</v>
      </c>
      <c r="N14" s="15">
        <v>146.601</v>
      </c>
      <c r="O14" s="15">
        <v>146.601</v>
      </c>
      <c r="P14" s="15">
        <v>146.601</v>
      </c>
      <c r="Q14" s="15">
        <v>146.601</v>
      </c>
      <c r="R14" s="15">
        <v>146.601</v>
      </c>
    </row>
    <row r="15" spans="1:18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" t="s">
        <v>136</v>
      </c>
      <c r="B16" s="1"/>
      <c r="C16" s="1"/>
      <c r="D16" s="1"/>
      <c r="E16" s="1"/>
      <c r="F16" s="1"/>
      <c r="G16" s="13">
        <f t="shared" ref="G16:R16" si="3">+G18+G19</f>
        <v>690580</v>
      </c>
      <c r="H16" s="13">
        <f t="shared" si="3"/>
        <v>700732</v>
      </c>
      <c r="I16" s="13">
        <f t="shared" si="3"/>
        <v>714986</v>
      </c>
      <c r="J16" s="13">
        <f t="shared" si="3"/>
        <v>698493</v>
      </c>
      <c r="K16" s="13">
        <f t="shared" si="3"/>
        <v>719106</v>
      </c>
      <c r="L16" s="13">
        <f t="shared" si="3"/>
        <v>729917</v>
      </c>
      <c r="M16" s="13">
        <f t="shared" si="3"/>
        <v>728781</v>
      </c>
      <c r="N16" s="13">
        <f t="shared" si="3"/>
        <v>740495</v>
      </c>
      <c r="O16" s="13">
        <f t="shared" si="3"/>
        <v>780322</v>
      </c>
      <c r="P16" s="13">
        <f t="shared" si="3"/>
        <v>791715</v>
      </c>
      <c r="Q16" s="13">
        <f t="shared" si="3"/>
        <v>799802.73155000003</v>
      </c>
      <c r="R16" s="13">
        <f t="shared" si="3"/>
        <v>800573</v>
      </c>
    </row>
    <row r="17" spans="1:18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B18" s="2" t="s">
        <v>134</v>
      </c>
      <c r="G18" s="15">
        <v>676736</v>
      </c>
      <c r="H18" s="15">
        <v>687016</v>
      </c>
      <c r="I18" s="15">
        <v>701093</v>
      </c>
      <c r="J18" s="15">
        <v>684933</v>
      </c>
      <c r="K18" s="15">
        <v>705563</v>
      </c>
      <c r="L18" s="15">
        <v>716205</v>
      </c>
      <c r="M18" s="15">
        <v>716726</v>
      </c>
      <c r="N18" s="15">
        <v>728301</v>
      </c>
      <c r="O18" s="15">
        <v>768096</v>
      </c>
      <c r="P18" s="15">
        <v>779226</v>
      </c>
      <c r="Q18" s="15">
        <v>787113</v>
      </c>
      <c r="R18" s="15">
        <v>787821</v>
      </c>
    </row>
    <row r="19" spans="1:18">
      <c r="B19" s="2" t="s">
        <v>135</v>
      </c>
      <c r="G19" s="14">
        <f t="shared" ref="G19:R19" si="4">+SUM(G20:G23)</f>
        <v>13844</v>
      </c>
      <c r="H19" s="14">
        <f t="shared" si="4"/>
        <v>13716</v>
      </c>
      <c r="I19" s="14">
        <f t="shared" si="4"/>
        <v>13893</v>
      </c>
      <c r="J19" s="14">
        <f t="shared" si="4"/>
        <v>13560</v>
      </c>
      <c r="K19" s="14">
        <f t="shared" si="4"/>
        <v>13543</v>
      </c>
      <c r="L19" s="14">
        <f t="shared" si="4"/>
        <v>13712</v>
      </c>
      <c r="M19" s="14">
        <f t="shared" si="4"/>
        <v>12055</v>
      </c>
      <c r="N19" s="14">
        <f t="shared" si="4"/>
        <v>12194</v>
      </c>
      <c r="O19" s="14">
        <f t="shared" si="4"/>
        <v>12226</v>
      </c>
      <c r="P19" s="14">
        <f t="shared" si="4"/>
        <v>12489</v>
      </c>
      <c r="Q19" s="14">
        <f t="shared" si="4"/>
        <v>12689.731549999999</v>
      </c>
      <c r="R19" s="14">
        <f t="shared" si="4"/>
        <v>12752</v>
      </c>
    </row>
    <row r="20" spans="1:18">
      <c r="C20" s="2" t="s">
        <v>12</v>
      </c>
      <c r="G20" s="15">
        <v>6259</v>
      </c>
      <c r="H20" s="15">
        <v>6257</v>
      </c>
      <c r="I20" s="15">
        <v>6295</v>
      </c>
      <c r="J20" s="15">
        <v>6223</v>
      </c>
      <c r="K20" s="15">
        <v>6205</v>
      </c>
      <c r="L20" s="15">
        <v>6260</v>
      </c>
      <c r="M20" s="15">
        <v>6006</v>
      </c>
      <c r="N20" s="15">
        <v>6042</v>
      </c>
      <c r="O20" s="15">
        <v>6053</v>
      </c>
      <c r="P20" s="15">
        <v>6088</v>
      </c>
      <c r="Q20" s="15">
        <f>108.578*56.15</f>
        <v>6096.6547</v>
      </c>
      <c r="R20" s="15">
        <v>6108</v>
      </c>
    </row>
    <row r="21" spans="1:18">
      <c r="C21" s="2" t="s">
        <v>13</v>
      </c>
      <c r="G21" s="15">
        <v>7235</v>
      </c>
      <c r="H21" s="15">
        <v>7108</v>
      </c>
      <c r="I21" s="15">
        <v>7248</v>
      </c>
      <c r="J21" s="15">
        <v>6992</v>
      </c>
      <c r="K21" s="15">
        <v>6992</v>
      </c>
      <c r="L21" s="15">
        <v>7105</v>
      </c>
      <c r="M21" s="15">
        <v>5755</v>
      </c>
      <c r="N21" s="15">
        <v>5856</v>
      </c>
      <c r="O21" s="15">
        <v>5875</v>
      </c>
      <c r="P21" s="15">
        <v>6098</v>
      </c>
      <c r="Q21" s="15">
        <f>111.935*56.15</f>
        <v>6285.1502499999997</v>
      </c>
      <c r="R21" s="15">
        <v>6333</v>
      </c>
    </row>
    <row r="22" spans="1:18">
      <c r="C22" s="2" t="s">
        <v>151</v>
      </c>
      <c r="G22" s="15">
        <v>181</v>
      </c>
      <c r="H22" s="15">
        <v>182</v>
      </c>
      <c r="I22" s="15">
        <v>182</v>
      </c>
      <c r="J22" s="15">
        <v>182</v>
      </c>
      <c r="K22" s="15">
        <v>181</v>
      </c>
      <c r="L22" s="15">
        <v>182</v>
      </c>
      <c r="M22" s="15">
        <v>158</v>
      </c>
      <c r="N22" s="15">
        <v>159</v>
      </c>
      <c r="O22" s="15">
        <v>159</v>
      </c>
      <c r="P22" s="15">
        <v>159</v>
      </c>
      <c r="Q22" s="15">
        <f>2.826*56.15</f>
        <v>158.6799</v>
      </c>
      <c r="R22" s="15">
        <v>159</v>
      </c>
    </row>
    <row r="23" spans="1:18">
      <c r="C23" s="2" t="s">
        <v>15</v>
      </c>
      <c r="G23" s="15">
        <v>169</v>
      </c>
      <c r="H23" s="15">
        <v>169</v>
      </c>
      <c r="I23" s="15">
        <v>168</v>
      </c>
      <c r="J23" s="15">
        <v>163</v>
      </c>
      <c r="K23" s="15">
        <v>165</v>
      </c>
      <c r="L23" s="15">
        <v>165</v>
      </c>
      <c r="M23" s="15">
        <v>136</v>
      </c>
      <c r="N23" s="15">
        <v>137</v>
      </c>
      <c r="O23" s="15">
        <v>139</v>
      </c>
      <c r="P23" s="15">
        <v>144</v>
      </c>
      <c r="Q23" s="15">
        <f>2.658*56.15</f>
        <v>149.2467</v>
      </c>
      <c r="R23" s="15">
        <v>152</v>
      </c>
    </row>
    <row r="24" spans="1:18">
      <c r="G24" s="15"/>
    </row>
    <row r="25" spans="1:18">
      <c r="A25" s="9"/>
      <c r="B25" s="9"/>
      <c r="C25" s="9"/>
      <c r="D25" s="9"/>
      <c r="E25" s="9"/>
      <c r="F25" s="9"/>
    </row>
    <row r="26" spans="1:18">
      <c r="A26" s="2" t="s">
        <v>80</v>
      </c>
    </row>
    <row r="27" spans="1:18">
      <c r="A27" s="1"/>
    </row>
    <row r="28" spans="1:18">
      <c r="A28" s="1"/>
    </row>
    <row r="29" spans="1:18">
      <c r="A29" s="1"/>
    </row>
    <row r="30" spans="1:18">
      <c r="A30" s="1"/>
    </row>
    <row r="31" spans="1:18">
      <c r="A31" s="1"/>
    </row>
    <row r="32" spans="1:18">
      <c r="A32" s="1"/>
    </row>
    <row r="33" spans="1:7">
      <c r="A33" s="79"/>
      <c r="B33" s="79"/>
      <c r="C33" s="79"/>
      <c r="D33" s="79"/>
      <c r="E33" s="79"/>
      <c r="F33" s="79"/>
      <c r="G33" s="79"/>
    </row>
    <row r="34" spans="1:7">
      <c r="A34" s="11" t="s">
        <v>22</v>
      </c>
    </row>
    <row r="35" spans="1:7">
      <c r="A35" s="11" t="s">
        <v>68</v>
      </c>
    </row>
    <row r="36" spans="1:7">
      <c r="A36" s="11" t="s">
        <v>152</v>
      </c>
      <c r="F36" s="11"/>
    </row>
    <row r="37" spans="1:7">
      <c r="A37" s="48" t="s">
        <v>153</v>
      </c>
    </row>
    <row r="38" spans="1:7">
      <c r="F38" s="11"/>
    </row>
    <row r="39" spans="1:7">
      <c r="A39" s="11" t="s">
        <v>35</v>
      </c>
      <c r="F39" s="11"/>
    </row>
    <row r="40" spans="1:7">
      <c r="F40" s="11"/>
    </row>
    <row r="47" spans="1:7">
      <c r="G47" s="79"/>
    </row>
    <row r="48" spans="1:7">
      <c r="G48" s="11"/>
    </row>
    <row r="49" spans="7:7">
      <c r="G49" s="11"/>
    </row>
    <row r="50" spans="7:7">
      <c r="G50" s="11"/>
    </row>
    <row r="51" spans="7:7">
      <c r="G51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1">
    <pageSetUpPr fitToPage="1"/>
  </sheetPr>
  <dimension ref="A1:W57"/>
  <sheetViews>
    <sheetView workbookViewId="0">
      <selection activeCell="L33" sqref="L33"/>
    </sheetView>
  </sheetViews>
  <sheetFormatPr defaultRowHeight="16.5"/>
  <cols>
    <col min="1" max="1" width="2.140625" style="2" customWidth="1"/>
    <col min="2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8.140625" style="2" customWidth="1"/>
    <col min="7" max="7" width="10.85546875" style="15" hidden="1" customWidth="1"/>
    <col min="8" max="8" width="4.140625" style="15" hidden="1" customWidth="1"/>
    <col min="9" max="9" width="2.5703125" style="15" hidden="1" customWidth="1"/>
    <col min="10" max="10" width="4.140625" style="15" hidden="1" customWidth="1"/>
    <col min="11" max="11" width="4.85546875" style="15" hidden="1" customWidth="1"/>
    <col min="12" max="23" width="10.140625" style="2" bestFit="1" customWidth="1"/>
    <col min="24" max="256" width="9.140625" style="2"/>
    <col min="257" max="257" width="2.140625" style="2" customWidth="1"/>
    <col min="258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8.140625" style="2" customWidth="1"/>
    <col min="263" max="267" width="0" style="2" hidden="1" customWidth="1"/>
    <col min="268" max="271" width="8.85546875" style="2" customWidth="1"/>
    <col min="272" max="512" width="9.140625" style="2"/>
    <col min="513" max="513" width="2.140625" style="2" customWidth="1"/>
    <col min="514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8.140625" style="2" customWidth="1"/>
    <col min="519" max="523" width="0" style="2" hidden="1" customWidth="1"/>
    <col min="524" max="527" width="8.85546875" style="2" customWidth="1"/>
    <col min="528" max="768" width="9.140625" style="2"/>
    <col min="769" max="769" width="2.140625" style="2" customWidth="1"/>
    <col min="770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8.140625" style="2" customWidth="1"/>
    <col min="775" max="779" width="0" style="2" hidden="1" customWidth="1"/>
    <col min="780" max="783" width="8.85546875" style="2" customWidth="1"/>
    <col min="784" max="1024" width="9.140625" style="2"/>
    <col min="1025" max="1025" width="2.140625" style="2" customWidth="1"/>
    <col min="1026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8.140625" style="2" customWidth="1"/>
    <col min="1031" max="1035" width="0" style="2" hidden="1" customWidth="1"/>
    <col min="1036" max="1039" width="8.85546875" style="2" customWidth="1"/>
    <col min="1040" max="1280" width="9.140625" style="2"/>
    <col min="1281" max="1281" width="2.140625" style="2" customWidth="1"/>
    <col min="1282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8.140625" style="2" customWidth="1"/>
    <col min="1287" max="1291" width="0" style="2" hidden="1" customWidth="1"/>
    <col min="1292" max="1295" width="8.85546875" style="2" customWidth="1"/>
    <col min="1296" max="1536" width="9.140625" style="2"/>
    <col min="1537" max="1537" width="2.140625" style="2" customWidth="1"/>
    <col min="1538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8.140625" style="2" customWidth="1"/>
    <col min="1543" max="1547" width="0" style="2" hidden="1" customWidth="1"/>
    <col min="1548" max="1551" width="8.85546875" style="2" customWidth="1"/>
    <col min="1552" max="1792" width="9.140625" style="2"/>
    <col min="1793" max="1793" width="2.140625" style="2" customWidth="1"/>
    <col min="1794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8.140625" style="2" customWidth="1"/>
    <col min="1799" max="1803" width="0" style="2" hidden="1" customWidth="1"/>
    <col min="1804" max="1807" width="8.85546875" style="2" customWidth="1"/>
    <col min="1808" max="2048" width="9.140625" style="2"/>
    <col min="2049" max="2049" width="2.140625" style="2" customWidth="1"/>
    <col min="2050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8.140625" style="2" customWidth="1"/>
    <col min="2055" max="2059" width="0" style="2" hidden="1" customWidth="1"/>
    <col min="2060" max="2063" width="8.85546875" style="2" customWidth="1"/>
    <col min="2064" max="2304" width="9.140625" style="2"/>
    <col min="2305" max="2305" width="2.140625" style="2" customWidth="1"/>
    <col min="2306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8.140625" style="2" customWidth="1"/>
    <col min="2311" max="2315" width="0" style="2" hidden="1" customWidth="1"/>
    <col min="2316" max="2319" width="8.85546875" style="2" customWidth="1"/>
    <col min="2320" max="2560" width="9.140625" style="2"/>
    <col min="2561" max="2561" width="2.140625" style="2" customWidth="1"/>
    <col min="2562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8.140625" style="2" customWidth="1"/>
    <col min="2567" max="2571" width="0" style="2" hidden="1" customWidth="1"/>
    <col min="2572" max="2575" width="8.85546875" style="2" customWidth="1"/>
    <col min="2576" max="2816" width="9.140625" style="2"/>
    <col min="2817" max="2817" width="2.140625" style="2" customWidth="1"/>
    <col min="2818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8.140625" style="2" customWidth="1"/>
    <col min="2823" max="2827" width="0" style="2" hidden="1" customWidth="1"/>
    <col min="2828" max="2831" width="8.85546875" style="2" customWidth="1"/>
    <col min="2832" max="3072" width="9.140625" style="2"/>
    <col min="3073" max="3073" width="2.140625" style="2" customWidth="1"/>
    <col min="3074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8.140625" style="2" customWidth="1"/>
    <col min="3079" max="3083" width="0" style="2" hidden="1" customWidth="1"/>
    <col min="3084" max="3087" width="8.85546875" style="2" customWidth="1"/>
    <col min="3088" max="3328" width="9.140625" style="2"/>
    <col min="3329" max="3329" width="2.140625" style="2" customWidth="1"/>
    <col min="3330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8.140625" style="2" customWidth="1"/>
    <col min="3335" max="3339" width="0" style="2" hidden="1" customWidth="1"/>
    <col min="3340" max="3343" width="8.85546875" style="2" customWidth="1"/>
    <col min="3344" max="3584" width="9.140625" style="2"/>
    <col min="3585" max="3585" width="2.140625" style="2" customWidth="1"/>
    <col min="3586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8.140625" style="2" customWidth="1"/>
    <col min="3591" max="3595" width="0" style="2" hidden="1" customWidth="1"/>
    <col min="3596" max="3599" width="8.85546875" style="2" customWidth="1"/>
    <col min="3600" max="3840" width="9.140625" style="2"/>
    <col min="3841" max="3841" width="2.140625" style="2" customWidth="1"/>
    <col min="3842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8.140625" style="2" customWidth="1"/>
    <col min="3847" max="3851" width="0" style="2" hidden="1" customWidth="1"/>
    <col min="3852" max="3855" width="8.85546875" style="2" customWidth="1"/>
    <col min="3856" max="4096" width="9.140625" style="2"/>
    <col min="4097" max="4097" width="2.140625" style="2" customWidth="1"/>
    <col min="4098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8.140625" style="2" customWidth="1"/>
    <col min="4103" max="4107" width="0" style="2" hidden="1" customWidth="1"/>
    <col min="4108" max="4111" width="8.85546875" style="2" customWidth="1"/>
    <col min="4112" max="4352" width="9.140625" style="2"/>
    <col min="4353" max="4353" width="2.140625" style="2" customWidth="1"/>
    <col min="4354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8.140625" style="2" customWidth="1"/>
    <col min="4359" max="4363" width="0" style="2" hidden="1" customWidth="1"/>
    <col min="4364" max="4367" width="8.85546875" style="2" customWidth="1"/>
    <col min="4368" max="4608" width="9.140625" style="2"/>
    <col min="4609" max="4609" width="2.140625" style="2" customWidth="1"/>
    <col min="4610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8.140625" style="2" customWidth="1"/>
    <col min="4615" max="4619" width="0" style="2" hidden="1" customWidth="1"/>
    <col min="4620" max="4623" width="8.85546875" style="2" customWidth="1"/>
    <col min="4624" max="4864" width="9.140625" style="2"/>
    <col min="4865" max="4865" width="2.140625" style="2" customWidth="1"/>
    <col min="4866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8.140625" style="2" customWidth="1"/>
    <col min="4871" max="4875" width="0" style="2" hidden="1" customWidth="1"/>
    <col min="4876" max="4879" width="8.85546875" style="2" customWidth="1"/>
    <col min="4880" max="5120" width="9.140625" style="2"/>
    <col min="5121" max="5121" width="2.140625" style="2" customWidth="1"/>
    <col min="5122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8.140625" style="2" customWidth="1"/>
    <col min="5127" max="5131" width="0" style="2" hidden="1" customWidth="1"/>
    <col min="5132" max="5135" width="8.85546875" style="2" customWidth="1"/>
    <col min="5136" max="5376" width="9.140625" style="2"/>
    <col min="5377" max="5377" width="2.140625" style="2" customWidth="1"/>
    <col min="5378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8.140625" style="2" customWidth="1"/>
    <col min="5383" max="5387" width="0" style="2" hidden="1" customWidth="1"/>
    <col min="5388" max="5391" width="8.85546875" style="2" customWidth="1"/>
    <col min="5392" max="5632" width="9.140625" style="2"/>
    <col min="5633" max="5633" width="2.140625" style="2" customWidth="1"/>
    <col min="5634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8.140625" style="2" customWidth="1"/>
    <col min="5639" max="5643" width="0" style="2" hidden="1" customWidth="1"/>
    <col min="5644" max="5647" width="8.85546875" style="2" customWidth="1"/>
    <col min="5648" max="5888" width="9.140625" style="2"/>
    <col min="5889" max="5889" width="2.140625" style="2" customWidth="1"/>
    <col min="5890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8.140625" style="2" customWidth="1"/>
    <col min="5895" max="5899" width="0" style="2" hidden="1" customWidth="1"/>
    <col min="5900" max="5903" width="8.85546875" style="2" customWidth="1"/>
    <col min="5904" max="6144" width="9.140625" style="2"/>
    <col min="6145" max="6145" width="2.140625" style="2" customWidth="1"/>
    <col min="6146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8.140625" style="2" customWidth="1"/>
    <col min="6151" max="6155" width="0" style="2" hidden="1" customWidth="1"/>
    <col min="6156" max="6159" width="8.85546875" style="2" customWidth="1"/>
    <col min="6160" max="6400" width="9.140625" style="2"/>
    <col min="6401" max="6401" width="2.140625" style="2" customWidth="1"/>
    <col min="6402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8.140625" style="2" customWidth="1"/>
    <col min="6407" max="6411" width="0" style="2" hidden="1" customWidth="1"/>
    <col min="6412" max="6415" width="8.85546875" style="2" customWidth="1"/>
    <col min="6416" max="6656" width="9.140625" style="2"/>
    <col min="6657" max="6657" width="2.140625" style="2" customWidth="1"/>
    <col min="6658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8.140625" style="2" customWidth="1"/>
    <col min="6663" max="6667" width="0" style="2" hidden="1" customWidth="1"/>
    <col min="6668" max="6671" width="8.85546875" style="2" customWidth="1"/>
    <col min="6672" max="6912" width="9.140625" style="2"/>
    <col min="6913" max="6913" width="2.140625" style="2" customWidth="1"/>
    <col min="6914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8.140625" style="2" customWidth="1"/>
    <col min="6919" max="6923" width="0" style="2" hidden="1" customWidth="1"/>
    <col min="6924" max="6927" width="8.85546875" style="2" customWidth="1"/>
    <col min="6928" max="7168" width="9.140625" style="2"/>
    <col min="7169" max="7169" width="2.140625" style="2" customWidth="1"/>
    <col min="7170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8.140625" style="2" customWidth="1"/>
    <col min="7175" max="7179" width="0" style="2" hidden="1" customWidth="1"/>
    <col min="7180" max="7183" width="8.85546875" style="2" customWidth="1"/>
    <col min="7184" max="7424" width="9.140625" style="2"/>
    <col min="7425" max="7425" width="2.140625" style="2" customWidth="1"/>
    <col min="7426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8.140625" style="2" customWidth="1"/>
    <col min="7431" max="7435" width="0" style="2" hidden="1" customWidth="1"/>
    <col min="7436" max="7439" width="8.85546875" style="2" customWidth="1"/>
    <col min="7440" max="7680" width="9.140625" style="2"/>
    <col min="7681" max="7681" width="2.140625" style="2" customWidth="1"/>
    <col min="7682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8.140625" style="2" customWidth="1"/>
    <col min="7687" max="7691" width="0" style="2" hidden="1" customWidth="1"/>
    <col min="7692" max="7695" width="8.85546875" style="2" customWidth="1"/>
    <col min="7696" max="7936" width="9.140625" style="2"/>
    <col min="7937" max="7937" width="2.140625" style="2" customWidth="1"/>
    <col min="7938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8.140625" style="2" customWidth="1"/>
    <col min="7943" max="7947" width="0" style="2" hidden="1" customWidth="1"/>
    <col min="7948" max="7951" width="8.85546875" style="2" customWidth="1"/>
    <col min="7952" max="8192" width="9.140625" style="2"/>
    <col min="8193" max="8193" width="2.140625" style="2" customWidth="1"/>
    <col min="8194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8.140625" style="2" customWidth="1"/>
    <col min="8199" max="8203" width="0" style="2" hidden="1" customWidth="1"/>
    <col min="8204" max="8207" width="8.85546875" style="2" customWidth="1"/>
    <col min="8208" max="8448" width="9.140625" style="2"/>
    <col min="8449" max="8449" width="2.140625" style="2" customWidth="1"/>
    <col min="8450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8.140625" style="2" customWidth="1"/>
    <col min="8455" max="8459" width="0" style="2" hidden="1" customWidth="1"/>
    <col min="8460" max="8463" width="8.85546875" style="2" customWidth="1"/>
    <col min="8464" max="8704" width="9.140625" style="2"/>
    <col min="8705" max="8705" width="2.140625" style="2" customWidth="1"/>
    <col min="8706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8.140625" style="2" customWidth="1"/>
    <col min="8711" max="8715" width="0" style="2" hidden="1" customWidth="1"/>
    <col min="8716" max="8719" width="8.85546875" style="2" customWidth="1"/>
    <col min="8720" max="8960" width="9.140625" style="2"/>
    <col min="8961" max="8961" width="2.140625" style="2" customWidth="1"/>
    <col min="8962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8.140625" style="2" customWidth="1"/>
    <col min="8967" max="8971" width="0" style="2" hidden="1" customWidth="1"/>
    <col min="8972" max="8975" width="8.85546875" style="2" customWidth="1"/>
    <col min="8976" max="9216" width="9.140625" style="2"/>
    <col min="9217" max="9217" width="2.140625" style="2" customWidth="1"/>
    <col min="9218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8.140625" style="2" customWidth="1"/>
    <col min="9223" max="9227" width="0" style="2" hidden="1" customWidth="1"/>
    <col min="9228" max="9231" width="8.85546875" style="2" customWidth="1"/>
    <col min="9232" max="9472" width="9.140625" style="2"/>
    <col min="9473" max="9473" width="2.140625" style="2" customWidth="1"/>
    <col min="9474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8.140625" style="2" customWidth="1"/>
    <col min="9479" max="9483" width="0" style="2" hidden="1" customWidth="1"/>
    <col min="9484" max="9487" width="8.85546875" style="2" customWidth="1"/>
    <col min="9488" max="9728" width="9.140625" style="2"/>
    <col min="9729" max="9729" width="2.140625" style="2" customWidth="1"/>
    <col min="9730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8.140625" style="2" customWidth="1"/>
    <col min="9735" max="9739" width="0" style="2" hidden="1" customWidth="1"/>
    <col min="9740" max="9743" width="8.85546875" style="2" customWidth="1"/>
    <col min="9744" max="9984" width="9.140625" style="2"/>
    <col min="9985" max="9985" width="2.140625" style="2" customWidth="1"/>
    <col min="9986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8.140625" style="2" customWidth="1"/>
    <col min="9991" max="9995" width="0" style="2" hidden="1" customWidth="1"/>
    <col min="9996" max="9999" width="8.85546875" style="2" customWidth="1"/>
    <col min="10000" max="10240" width="9.140625" style="2"/>
    <col min="10241" max="10241" width="2.140625" style="2" customWidth="1"/>
    <col min="10242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8.140625" style="2" customWidth="1"/>
    <col min="10247" max="10251" width="0" style="2" hidden="1" customWidth="1"/>
    <col min="10252" max="10255" width="8.85546875" style="2" customWidth="1"/>
    <col min="10256" max="10496" width="9.140625" style="2"/>
    <col min="10497" max="10497" width="2.140625" style="2" customWidth="1"/>
    <col min="10498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8.140625" style="2" customWidth="1"/>
    <col min="10503" max="10507" width="0" style="2" hidden="1" customWidth="1"/>
    <col min="10508" max="10511" width="8.85546875" style="2" customWidth="1"/>
    <col min="10512" max="10752" width="9.140625" style="2"/>
    <col min="10753" max="10753" width="2.140625" style="2" customWidth="1"/>
    <col min="10754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8.140625" style="2" customWidth="1"/>
    <col min="10759" max="10763" width="0" style="2" hidden="1" customWidth="1"/>
    <col min="10764" max="10767" width="8.85546875" style="2" customWidth="1"/>
    <col min="10768" max="11008" width="9.140625" style="2"/>
    <col min="11009" max="11009" width="2.140625" style="2" customWidth="1"/>
    <col min="11010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8.140625" style="2" customWidth="1"/>
    <col min="11015" max="11019" width="0" style="2" hidden="1" customWidth="1"/>
    <col min="11020" max="11023" width="8.85546875" style="2" customWidth="1"/>
    <col min="11024" max="11264" width="9.140625" style="2"/>
    <col min="11265" max="11265" width="2.140625" style="2" customWidth="1"/>
    <col min="11266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8.140625" style="2" customWidth="1"/>
    <col min="11271" max="11275" width="0" style="2" hidden="1" customWidth="1"/>
    <col min="11276" max="11279" width="8.85546875" style="2" customWidth="1"/>
    <col min="11280" max="11520" width="9.140625" style="2"/>
    <col min="11521" max="11521" width="2.140625" style="2" customWidth="1"/>
    <col min="11522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8.140625" style="2" customWidth="1"/>
    <col min="11527" max="11531" width="0" style="2" hidden="1" customWidth="1"/>
    <col min="11532" max="11535" width="8.85546875" style="2" customWidth="1"/>
    <col min="11536" max="11776" width="9.140625" style="2"/>
    <col min="11777" max="11777" width="2.140625" style="2" customWidth="1"/>
    <col min="11778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8.140625" style="2" customWidth="1"/>
    <col min="11783" max="11787" width="0" style="2" hidden="1" customWidth="1"/>
    <col min="11788" max="11791" width="8.85546875" style="2" customWidth="1"/>
    <col min="11792" max="12032" width="9.140625" style="2"/>
    <col min="12033" max="12033" width="2.140625" style="2" customWidth="1"/>
    <col min="12034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8.140625" style="2" customWidth="1"/>
    <col min="12039" max="12043" width="0" style="2" hidden="1" customWidth="1"/>
    <col min="12044" max="12047" width="8.85546875" style="2" customWidth="1"/>
    <col min="12048" max="12288" width="9.140625" style="2"/>
    <col min="12289" max="12289" width="2.140625" style="2" customWidth="1"/>
    <col min="12290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8.140625" style="2" customWidth="1"/>
    <col min="12295" max="12299" width="0" style="2" hidden="1" customWidth="1"/>
    <col min="12300" max="12303" width="8.85546875" style="2" customWidth="1"/>
    <col min="12304" max="12544" width="9.140625" style="2"/>
    <col min="12545" max="12545" width="2.140625" style="2" customWidth="1"/>
    <col min="12546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8.140625" style="2" customWidth="1"/>
    <col min="12551" max="12555" width="0" style="2" hidden="1" customWidth="1"/>
    <col min="12556" max="12559" width="8.85546875" style="2" customWidth="1"/>
    <col min="12560" max="12800" width="9.140625" style="2"/>
    <col min="12801" max="12801" width="2.140625" style="2" customWidth="1"/>
    <col min="12802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8.140625" style="2" customWidth="1"/>
    <col min="12807" max="12811" width="0" style="2" hidden="1" customWidth="1"/>
    <col min="12812" max="12815" width="8.85546875" style="2" customWidth="1"/>
    <col min="12816" max="13056" width="9.140625" style="2"/>
    <col min="13057" max="13057" width="2.140625" style="2" customWidth="1"/>
    <col min="13058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8.140625" style="2" customWidth="1"/>
    <col min="13063" max="13067" width="0" style="2" hidden="1" customWidth="1"/>
    <col min="13068" max="13071" width="8.85546875" style="2" customWidth="1"/>
    <col min="13072" max="13312" width="9.140625" style="2"/>
    <col min="13313" max="13313" width="2.140625" style="2" customWidth="1"/>
    <col min="13314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8.140625" style="2" customWidth="1"/>
    <col min="13319" max="13323" width="0" style="2" hidden="1" customWidth="1"/>
    <col min="13324" max="13327" width="8.85546875" style="2" customWidth="1"/>
    <col min="13328" max="13568" width="9.140625" style="2"/>
    <col min="13569" max="13569" width="2.140625" style="2" customWidth="1"/>
    <col min="13570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8.140625" style="2" customWidth="1"/>
    <col min="13575" max="13579" width="0" style="2" hidden="1" customWidth="1"/>
    <col min="13580" max="13583" width="8.85546875" style="2" customWidth="1"/>
    <col min="13584" max="13824" width="9.140625" style="2"/>
    <col min="13825" max="13825" width="2.140625" style="2" customWidth="1"/>
    <col min="13826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8.140625" style="2" customWidth="1"/>
    <col min="13831" max="13835" width="0" style="2" hidden="1" customWidth="1"/>
    <col min="13836" max="13839" width="8.85546875" style="2" customWidth="1"/>
    <col min="13840" max="14080" width="9.140625" style="2"/>
    <col min="14081" max="14081" width="2.140625" style="2" customWidth="1"/>
    <col min="14082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8.140625" style="2" customWidth="1"/>
    <col min="14087" max="14091" width="0" style="2" hidden="1" customWidth="1"/>
    <col min="14092" max="14095" width="8.85546875" style="2" customWidth="1"/>
    <col min="14096" max="14336" width="9.140625" style="2"/>
    <col min="14337" max="14337" width="2.140625" style="2" customWidth="1"/>
    <col min="14338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8.140625" style="2" customWidth="1"/>
    <col min="14343" max="14347" width="0" style="2" hidden="1" customWidth="1"/>
    <col min="14348" max="14351" width="8.85546875" style="2" customWidth="1"/>
    <col min="14352" max="14592" width="9.140625" style="2"/>
    <col min="14593" max="14593" width="2.140625" style="2" customWidth="1"/>
    <col min="14594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8.140625" style="2" customWidth="1"/>
    <col min="14599" max="14603" width="0" style="2" hidden="1" customWidth="1"/>
    <col min="14604" max="14607" width="8.85546875" style="2" customWidth="1"/>
    <col min="14608" max="14848" width="9.140625" style="2"/>
    <col min="14849" max="14849" width="2.140625" style="2" customWidth="1"/>
    <col min="14850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8.140625" style="2" customWidth="1"/>
    <col min="14855" max="14859" width="0" style="2" hidden="1" customWidth="1"/>
    <col min="14860" max="14863" width="8.85546875" style="2" customWidth="1"/>
    <col min="14864" max="15104" width="9.140625" style="2"/>
    <col min="15105" max="15105" width="2.140625" style="2" customWidth="1"/>
    <col min="15106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8.140625" style="2" customWidth="1"/>
    <col min="15111" max="15115" width="0" style="2" hidden="1" customWidth="1"/>
    <col min="15116" max="15119" width="8.85546875" style="2" customWidth="1"/>
    <col min="15120" max="15360" width="9.140625" style="2"/>
    <col min="15361" max="15361" width="2.140625" style="2" customWidth="1"/>
    <col min="15362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8.140625" style="2" customWidth="1"/>
    <col min="15367" max="15371" width="0" style="2" hidden="1" customWidth="1"/>
    <col min="15372" max="15375" width="8.85546875" style="2" customWidth="1"/>
    <col min="15376" max="15616" width="9.140625" style="2"/>
    <col min="15617" max="15617" width="2.140625" style="2" customWidth="1"/>
    <col min="15618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8.140625" style="2" customWidth="1"/>
    <col min="15623" max="15627" width="0" style="2" hidden="1" customWidth="1"/>
    <col min="15628" max="15631" width="8.85546875" style="2" customWidth="1"/>
    <col min="15632" max="15872" width="9.140625" style="2"/>
    <col min="15873" max="15873" width="2.140625" style="2" customWidth="1"/>
    <col min="15874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8.140625" style="2" customWidth="1"/>
    <col min="15879" max="15883" width="0" style="2" hidden="1" customWidth="1"/>
    <col min="15884" max="15887" width="8.85546875" style="2" customWidth="1"/>
    <col min="15888" max="16128" width="9.140625" style="2"/>
    <col min="16129" max="16129" width="2.140625" style="2" customWidth="1"/>
    <col min="16130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8.140625" style="2" customWidth="1"/>
    <col min="16135" max="16139" width="0" style="2" hidden="1" customWidth="1"/>
    <col min="16140" max="16143" width="8.85546875" style="2" customWidth="1"/>
    <col min="16144" max="16384" width="9.140625" style="2"/>
  </cols>
  <sheetData>
    <row r="1" spans="1:23">
      <c r="A1" s="1" t="s">
        <v>25</v>
      </c>
    </row>
    <row r="2" spans="1:23">
      <c r="A2" s="1" t="s">
        <v>77</v>
      </c>
      <c r="F2" s="1" t="s">
        <v>35</v>
      </c>
    </row>
    <row r="3" spans="1:23">
      <c r="A3" s="2" t="s">
        <v>0</v>
      </c>
      <c r="L3" s="2" t="s">
        <v>35</v>
      </c>
    </row>
    <row r="4" spans="1:23" ht="12" customHeight="1"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3" ht="18" customHeight="1">
      <c r="A5" s="204" t="s">
        <v>1</v>
      </c>
      <c r="B5" s="205"/>
      <c r="C5" s="205"/>
      <c r="D5" s="205"/>
      <c r="E5" s="205"/>
      <c r="F5" s="205"/>
      <c r="G5" s="80" t="s">
        <v>28</v>
      </c>
      <c r="H5" s="80" t="s">
        <v>29</v>
      </c>
      <c r="I5" s="80" t="s">
        <v>39</v>
      </c>
      <c r="J5" s="80" t="s">
        <v>31</v>
      </c>
      <c r="K5" s="80" t="s">
        <v>32</v>
      </c>
      <c r="L5" s="77" t="s">
        <v>5</v>
      </c>
      <c r="M5" s="77" t="s">
        <v>23</v>
      </c>
      <c r="N5" s="76" t="s">
        <v>24</v>
      </c>
      <c r="O5" s="77" t="s">
        <v>26</v>
      </c>
      <c r="P5" s="77" t="s">
        <v>27</v>
      </c>
      <c r="Q5" s="77" t="s">
        <v>36</v>
      </c>
      <c r="R5" s="77" t="s">
        <v>28</v>
      </c>
      <c r="S5" s="76" t="s">
        <v>29</v>
      </c>
      <c r="T5" s="77" t="s">
        <v>39</v>
      </c>
      <c r="U5" s="77" t="s">
        <v>31</v>
      </c>
      <c r="V5" s="76" t="s">
        <v>32</v>
      </c>
      <c r="W5" s="78" t="s">
        <v>33</v>
      </c>
    </row>
    <row r="6" spans="1:23" ht="9" customHeight="1"/>
    <row r="7" spans="1:23">
      <c r="A7" s="1" t="s">
        <v>17</v>
      </c>
      <c r="E7" s="1"/>
      <c r="G7" s="41">
        <v>0</v>
      </c>
      <c r="H7" s="41" t="e">
        <v>#REF!</v>
      </c>
      <c r="I7" s="41" t="e">
        <v>#REF!</v>
      </c>
      <c r="J7" s="41" t="e">
        <v>#REF!</v>
      </c>
      <c r="K7" s="41" t="e">
        <v>#REF!</v>
      </c>
      <c r="L7" s="41">
        <v>2875728</v>
      </c>
      <c r="M7" s="41">
        <v>2906351</v>
      </c>
      <c r="N7" s="41">
        <v>2896686</v>
      </c>
      <c r="O7" s="41">
        <v>2932136</v>
      </c>
      <c r="P7" s="41">
        <v>2958655</v>
      </c>
      <c r="Q7" s="41">
        <v>2970142</v>
      </c>
      <c r="R7" s="41">
        <v>3140651</v>
      </c>
      <c r="S7" s="41">
        <v>3157911.7080000001</v>
      </c>
      <c r="T7" s="41">
        <v>3195776.307</v>
      </c>
      <c r="U7" s="41">
        <v>3324549.307</v>
      </c>
      <c r="V7" s="41">
        <v>3359018.307</v>
      </c>
      <c r="W7" s="41">
        <v>3355108</v>
      </c>
    </row>
    <row r="8" spans="1:23" ht="7.5" customHeight="1"/>
    <row r="9" spans="1:23">
      <c r="A9" s="1"/>
      <c r="B9" s="1" t="s">
        <v>59</v>
      </c>
      <c r="C9" s="1"/>
      <c r="D9" s="1"/>
      <c r="E9" s="1"/>
      <c r="F9" s="1"/>
      <c r="G9" s="1"/>
      <c r="H9" s="13" t="e">
        <v>#REF!</v>
      </c>
      <c r="I9" s="13" t="e">
        <v>#REF!</v>
      </c>
      <c r="J9" s="13" t="e">
        <v>#REF!</v>
      </c>
      <c r="K9" s="13" t="e">
        <v>#REF!</v>
      </c>
      <c r="L9" s="13">
        <v>1476179</v>
      </c>
      <c r="M9" s="13">
        <v>1461163</v>
      </c>
      <c r="N9" s="13">
        <v>1475708</v>
      </c>
      <c r="O9" s="13">
        <v>1526608</v>
      </c>
      <c r="P9" s="13">
        <v>1525401</v>
      </c>
      <c r="Q9" s="13">
        <v>1542898</v>
      </c>
      <c r="R9" s="13">
        <v>1647449</v>
      </c>
      <c r="S9" s="13">
        <v>1656626.7080000001</v>
      </c>
      <c r="T9" s="13">
        <v>1656676.307</v>
      </c>
      <c r="U9" s="13">
        <v>1710023.307</v>
      </c>
      <c r="V9" s="13">
        <v>1717976.307</v>
      </c>
      <c r="W9" s="13">
        <v>1703781</v>
      </c>
    </row>
    <row r="10" spans="1:23">
      <c r="C10" s="2" t="s">
        <v>9</v>
      </c>
      <c r="G10" s="14" t="e">
        <v>#REF!</v>
      </c>
      <c r="H10" s="14" t="e">
        <v>#REF!</v>
      </c>
      <c r="I10" s="14" t="e">
        <v>#REF!</v>
      </c>
      <c r="J10" s="14" t="e">
        <v>#REF!</v>
      </c>
      <c r="K10" s="14" t="e">
        <v>#REF!</v>
      </c>
      <c r="L10" s="14">
        <v>1467843</v>
      </c>
      <c r="M10" s="14">
        <v>1452765</v>
      </c>
      <c r="N10" s="14">
        <v>1467406</v>
      </c>
      <c r="O10" s="14">
        <v>1518385</v>
      </c>
      <c r="P10" s="14">
        <v>1517116</v>
      </c>
      <c r="Q10" s="14">
        <v>1537590</v>
      </c>
      <c r="R10" s="14">
        <v>1642082</v>
      </c>
      <c r="S10" s="14">
        <v>1651246</v>
      </c>
      <c r="T10" s="14">
        <v>1651298</v>
      </c>
      <c r="U10" s="14">
        <v>1704623</v>
      </c>
      <c r="V10" s="14">
        <v>1712553</v>
      </c>
      <c r="W10" s="14">
        <v>1701484</v>
      </c>
    </row>
    <row r="11" spans="1:23">
      <c r="D11" s="2" t="s">
        <v>88</v>
      </c>
      <c r="G11" s="14" t="e">
        <v>#REF!</v>
      </c>
      <c r="H11" s="14" t="e">
        <v>#REF!</v>
      </c>
      <c r="I11" s="14" t="e">
        <v>#REF!</v>
      </c>
      <c r="J11" s="14" t="e">
        <v>#REF!</v>
      </c>
      <c r="K11" s="14" t="e">
        <v>#REF!</v>
      </c>
      <c r="L11" s="15">
        <v>1452231</v>
      </c>
      <c r="M11" s="15">
        <v>1437150</v>
      </c>
      <c r="N11" s="15">
        <v>1451793</v>
      </c>
      <c r="O11" s="15">
        <v>1502773</v>
      </c>
      <c r="P11" s="15">
        <v>1501503</v>
      </c>
      <c r="Q11" s="15">
        <v>1521978</v>
      </c>
      <c r="R11" s="15">
        <v>1626471</v>
      </c>
      <c r="S11" s="15">
        <v>1635635</v>
      </c>
      <c r="T11" s="15">
        <v>1635687</v>
      </c>
      <c r="U11" s="15">
        <v>1689062</v>
      </c>
      <c r="V11" s="15">
        <v>1696991</v>
      </c>
      <c r="W11" s="15">
        <v>1685924</v>
      </c>
    </row>
    <row r="12" spans="1:23">
      <c r="D12" s="2" t="s">
        <v>2</v>
      </c>
      <c r="L12" s="15">
        <v>15612</v>
      </c>
      <c r="M12" s="15">
        <v>15615</v>
      </c>
      <c r="N12" s="15">
        <v>15613</v>
      </c>
      <c r="O12" s="15">
        <v>15612</v>
      </c>
      <c r="P12" s="15">
        <v>15613</v>
      </c>
      <c r="Q12" s="15">
        <v>15612</v>
      </c>
      <c r="R12" s="15">
        <v>15611</v>
      </c>
      <c r="S12" s="15">
        <v>15611</v>
      </c>
      <c r="T12" s="15">
        <v>15611</v>
      </c>
      <c r="U12" s="15">
        <v>15561</v>
      </c>
      <c r="V12" s="15">
        <v>15562</v>
      </c>
      <c r="W12" s="15">
        <v>15560</v>
      </c>
    </row>
    <row r="13" spans="1:23">
      <c r="D13" s="2" t="s">
        <v>3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ht="7.5" customHeight="1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C15" s="2" t="s">
        <v>60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8336</v>
      </c>
      <c r="M15" s="14">
        <v>8398</v>
      </c>
      <c r="N15" s="14">
        <v>8302</v>
      </c>
      <c r="O15" s="14">
        <v>8223</v>
      </c>
      <c r="P15" s="14">
        <v>8285</v>
      </c>
      <c r="Q15" s="14">
        <v>5308</v>
      </c>
      <c r="R15" s="14">
        <v>5367</v>
      </c>
      <c r="S15" s="14">
        <v>5380.7079999999996</v>
      </c>
      <c r="T15" s="14">
        <v>5378.3069999999998</v>
      </c>
      <c r="U15" s="14">
        <v>5400.3069999999998</v>
      </c>
      <c r="V15" s="14">
        <v>5423.3069999999998</v>
      </c>
      <c r="W15" s="14">
        <v>2297</v>
      </c>
    </row>
    <row r="16" spans="1:23">
      <c r="D16" s="2" t="s">
        <v>12</v>
      </c>
      <c r="L16" s="15">
        <v>2007</v>
      </c>
      <c r="M16" s="15">
        <v>2028</v>
      </c>
      <c r="N16" s="15">
        <v>1996</v>
      </c>
      <c r="O16" s="15">
        <v>1969</v>
      </c>
      <c r="P16" s="15">
        <v>1990</v>
      </c>
      <c r="Q16" s="15">
        <v>1001</v>
      </c>
      <c r="R16" s="15">
        <v>1021</v>
      </c>
      <c r="S16" s="15">
        <v>1024.8589999999999</v>
      </c>
      <c r="T16" s="15">
        <v>1024</v>
      </c>
      <c r="U16" s="15">
        <v>1031</v>
      </c>
      <c r="V16" s="15">
        <v>1039</v>
      </c>
      <c r="W16" s="15">
        <v>0</v>
      </c>
    </row>
    <row r="17" spans="1:23">
      <c r="D17" s="2" t="s">
        <v>13</v>
      </c>
      <c r="L17" s="15">
        <v>6193</v>
      </c>
      <c r="M17" s="15">
        <v>6232</v>
      </c>
      <c r="N17" s="15">
        <v>6171</v>
      </c>
      <c r="O17" s="15">
        <v>6120</v>
      </c>
      <c r="P17" s="15">
        <v>6160</v>
      </c>
      <c r="Q17" s="15">
        <v>4236</v>
      </c>
      <c r="R17" s="15">
        <v>4274</v>
      </c>
      <c r="S17" s="15">
        <v>4283.0969999999998</v>
      </c>
      <c r="T17" s="15">
        <v>4281</v>
      </c>
      <c r="U17" s="15">
        <v>4296</v>
      </c>
      <c r="V17" s="15">
        <v>4310</v>
      </c>
      <c r="W17" s="15">
        <v>2291</v>
      </c>
    </row>
    <row r="18" spans="1:23">
      <c r="D18" s="2" t="s">
        <v>14</v>
      </c>
      <c r="L18" s="15">
        <v>130</v>
      </c>
      <c r="M18" s="15">
        <v>132</v>
      </c>
      <c r="N18" s="15">
        <v>129</v>
      </c>
      <c r="O18" s="15">
        <v>128</v>
      </c>
      <c r="P18" s="15">
        <v>129</v>
      </c>
      <c r="Q18" s="15">
        <v>65</v>
      </c>
      <c r="R18" s="15">
        <v>66</v>
      </c>
      <c r="S18" s="15">
        <v>66.444999999999993</v>
      </c>
      <c r="T18" s="15">
        <v>67</v>
      </c>
      <c r="U18" s="15">
        <v>67</v>
      </c>
      <c r="V18" s="15">
        <v>68</v>
      </c>
      <c r="W18" s="15">
        <v>0</v>
      </c>
    </row>
    <row r="19" spans="1:23">
      <c r="D19" s="2" t="s">
        <v>15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  <c r="R19" s="15">
        <v>6</v>
      </c>
      <c r="S19" s="15">
        <v>6.3070000000000004</v>
      </c>
      <c r="T19" s="15">
        <v>6.3070000000000004</v>
      </c>
      <c r="U19" s="15">
        <v>6.3070000000000004</v>
      </c>
      <c r="V19" s="15">
        <v>6.3070000000000004</v>
      </c>
      <c r="W19" s="15">
        <v>6</v>
      </c>
    </row>
    <row r="20" spans="1:23" ht="7.5" customHeight="1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"/>
      <c r="B21" s="1" t="s">
        <v>125</v>
      </c>
      <c r="C21" s="1"/>
      <c r="D21" s="1"/>
      <c r="E21" s="1"/>
      <c r="F21" s="1"/>
      <c r="G21" s="1"/>
      <c r="H21" s="13" t="e">
        <v>#REF!</v>
      </c>
      <c r="I21" s="13" t="e">
        <v>#REF!</v>
      </c>
      <c r="J21" s="13" t="e">
        <v>#REF!</v>
      </c>
      <c r="K21" s="13" t="e">
        <v>#REF!</v>
      </c>
      <c r="L21" s="13">
        <v>1399549</v>
      </c>
      <c r="M21" s="13">
        <v>1445188</v>
      </c>
      <c r="N21" s="13">
        <v>1420978</v>
      </c>
      <c r="O21" s="13">
        <v>1405528</v>
      </c>
      <c r="P21" s="13">
        <v>1433254</v>
      </c>
      <c r="Q21" s="13">
        <v>1427244</v>
      </c>
      <c r="R21" s="13">
        <v>1493202</v>
      </c>
      <c r="S21" s="13">
        <v>1501285</v>
      </c>
      <c r="T21" s="13">
        <v>1539100</v>
      </c>
      <c r="U21" s="13">
        <v>1614526</v>
      </c>
      <c r="V21" s="13">
        <v>1641042</v>
      </c>
      <c r="W21" s="13">
        <v>1651327</v>
      </c>
    </row>
    <row r="22" spans="1:23">
      <c r="C22" s="2" t="s">
        <v>9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723311</v>
      </c>
      <c r="M22" s="14">
        <v>733243</v>
      </c>
      <c r="N22" s="14">
        <v>721090</v>
      </c>
      <c r="O22" s="14">
        <v>713088</v>
      </c>
      <c r="P22" s="14">
        <v>727626</v>
      </c>
      <c r="Q22" s="14">
        <v>723980</v>
      </c>
      <c r="R22" s="14">
        <v>737134</v>
      </c>
      <c r="S22" s="14">
        <v>747507</v>
      </c>
      <c r="T22" s="14">
        <v>778555</v>
      </c>
      <c r="U22" s="14">
        <v>789179</v>
      </c>
      <c r="V22" s="14">
        <v>793924</v>
      </c>
      <c r="W22" s="14">
        <v>815942</v>
      </c>
    </row>
    <row r="23" spans="1:23">
      <c r="D23" s="2" t="s">
        <v>2</v>
      </c>
      <c r="L23" s="15">
        <v>627869</v>
      </c>
      <c r="M23" s="15">
        <v>634639</v>
      </c>
      <c r="N23" s="15">
        <v>623324</v>
      </c>
      <c r="O23" s="15">
        <v>616160</v>
      </c>
      <c r="P23" s="15">
        <v>628566</v>
      </c>
      <c r="Q23" s="15">
        <v>625403</v>
      </c>
      <c r="R23" s="15">
        <v>636963</v>
      </c>
      <c r="S23" s="15">
        <v>644933</v>
      </c>
      <c r="T23" s="15">
        <v>671243</v>
      </c>
      <c r="U23" s="15">
        <v>679032</v>
      </c>
      <c r="V23" s="15">
        <v>682552</v>
      </c>
      <c r="W23" s="15">
        <v>702521</v>
      </c>
    </row>
    <row r="24" spans="1:23">
      <c r="D24" s="2" t="s">
        <v>3</v>
      </c>
      <c r="L24" s="15">
        <v>95442</v>
      </c>
      <c r="M24" s="15">
        <v>98604</v>
      </c>
      <c r="N24" s="15">
        <v>97766</v>
      </c>
      <c r="O24" s="15">
        <v>96928</v>
      </c>
      <c r="P24" s="15">
        <v>99060</v>
      </c>
      <c r="Q24" s="15">
        <v>98577</v>
      </c>
      <c r="R24" s="15">
        <v>100171</v>
      </c>
      <c r="S24" s="15">
        <v>102574</v>
      </c>
      <c r="T24" s="15">
        <v>107312</v>
      </c>
      <c r="U24" s="15">
        <v>110147</v>
      </c>
      <c r="V24" s="15">
        <v>111372</v>
      </c>
      <c r="W24" s="15">
        <v>113421</v>
      </c>
    </row>
    <row r="25" spans="1:23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C26" s="2" t="s">
        <v>60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8898</v>
      </c>
      <c r="M26" s="14">
        <v>8994</v>
      </c>
      <c r="N26" s="14">
        <v>8821</v>
      </c>
      <c r="O26" s="14">
        <v>8684</v>
      </c>
      <c r="P26" s="14">
        <v>8814</v>
      </c>
      <c r="Q26" s="14">
        <v>8786</v>
      </c>
      <c r="R26" s="14">
        <v>7876</v>
      </c>
      <c r="S26" s="14">
        <v>7918</v>
      </c>
      <c r="T26" s="14">
        <v>7941</v>
      </c>
      <c r="U26" s="14">
        <v>8007</v>
      </c>
      <c r="V26" s="14">
        <v>8042</v>
      </c>
      <c r="W26" s="14">
        <v>7985</v>
      </c>
    </row>
    <row r="27" spans="1:23">
      <c r="D27" s="2" t="s">
        <v>12</v>
      </c>
      <c r="L27" s="15">
        <v>147</v>
      </c>
      <c r="M27" s="15">
        <v>148</v>
      </c>
      <c r="N27" s="15">
        <v>146</v>
      </c>
      <c r="O27" s="15">
        <v>144</v>
      </c>
      <c r="P27" s="15">
        <v>145</v>
      </c>
      <c r="Q27" s="15">
        <v>104</v>
      </c>
      <c r="R27" s="15">
        <v>98</v>
      </c>
      <c r="S27" s="15">
        <v>98</v>
      </c>
      <c r="T27" s="15">
        <v>98</v>
      </c>
      <c r="U27" s="15">
        <v>99</v>
      </c>
      <c r="V27" s="15">
        <v>100</v>
      </c>
      <c r="W27" s="15">
        <v>56</v>
      </c>
    </row>
    <row r="28" spans="1:23">
      <c r="D28" s="2" t="s">
        <v>13</v>
      </c>
      <c r="L28" s="15">
        <v>1443</v>
      </c>
      <c r="M28" s="15">
        <v>1461</v>
      </c>
      <c r="N28" s="15">
        <v>1432</v>
      </c>
      <c r="O28" s="15">
        <v>1415</v>
      </c>
      <c r="P28" s="15">
        <v>1439</v>
      </c>
      <c r="Q28" s="15">
        <v>1440</v>
      </c>
      <c r="R28" s="15">
        <v>1286</v>
      </c>
      <c r="S28" s="15">
        <v>1297</v>
      </c>
      <c r="T28" s="15">
        <v>1317</v>
      </c>
      <c r="U28" s="15">
        <v>1333</v>
      </c>
      <c r="V28" s="15">
        <v>1344</v>
      </c>
      <c r="W28" s="15">
        <v>1349</v>
      </c>
    </row>
    <row r="29" spans="1:23">
      <c r="D29" s="2" t="s">
        <v>14</v>
      </c>
      <c r="L29" s="15">
        <v>6917</v>
      </c>
      <c r="M29" s="15">
        <v>6990</v>
      </c>
      <c r="N29" s="15">
        <v>6878</v>
      </c>
      <c r="O29" s="15">
        <v>6788</v>
      </c>
      <c r="P29" s="15">
        <v>6861</v>
      </c>
      <c r="Q29" s="15">
        <v>6898</v>
      </c>
      <c r="R29" s="15">
        <v>6153</v>
      </c>
      <c r="S29" s="15">
        <v>6184</v>
      </c>
      <c r="T29" s="15">
        <v>6184</v>
      </c>
      <c r="U29" s="15">
        <v>6231</v>
      </c>
      <c r="V29" s="15">
        <v>6275</v>
      </c>
      <c r="W29" s="15">
        <v>6260</v>
      </c>
    </row>
    <row r="30" spans="1:23">
      <c r="D30" s="2" t="s">
        <v>15</v>
      </c>
      <c r="L30" s="15">
        <v>340</v>
      </c>
      <c r="M30" s="15">
        <v>343</v>
      </c>
      <c r="N30" s="15">
        <v>314</v>
      </c>
      <c r="O30" s="15">
        <v>286</v>
      </c>
      <c r="P30" s="15">
        <v>317</v>
      </c>
      <c r="Q30" s="15">
        <v>292</v>
      </c>
      <c r="R30" s="15">
        <v>293</v>
      </c>
      <c r="S30" s="15">
        <v>293</v>
      </c>
      <c r="T30" s="15">
        <v>295</v>
      </c>
      <c r="U30" s="15">
        <v>297</v>
      </c>
      <c r="V30" s="15">
        <v>275</v>
      </c>
      <c r="W30" s="15">
        <v>272</v>
      </c>
    </row>
    <row r="31" spans="1:23">
      <c r="D31" s="2" t="s">
        <v>16</v>
      </c>
      <c r="L31" s="15">
        <v>51</v>
      </c>
      <c r="M31" s="15">
        <v>52</v>
      </c>
      <c r="N31" s="15">
        <v>51</v>
      </c>
      <c r="O31" s="15">
        <v>51</v>
      </c>
      <c r="P31" s="15">
        <v>52</v>
      </c>
      <c r="Q31" s="15">
        <v>52</v>
      </c>
      <c r="R31" s="15">
        <v>46</v>
      </c>
      <c r="S31" s="15">
        <v>46</v>
      </c>
      <c r="T31" s="15">
        <v>47</v>
      </c>
      <c r="U31" s="15">
        <v>47</v>
      </c>
      <c r="V31" s="15">
        <v>48</v>
      </c>
      <c r="W31" s="15">
        <v>48</v>
      </c>
    </row>
    <row r="32" spans="1:23" ht="7.5" customHeight="1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C33" s="2" t="s">
        <v>66</v>
      </c>
      <c r="L33" s="15">
        <v>667340</v>
      </c>
      <c r="M33" s="15">
        <v>702951</v>
      </c>
      <c r="N33" s="15">
        <v>691067</v>
      </c>
      <c r="O33" s="15">
        <v>683756</v>
      </c>
      <c r="P33" s="15">
        <v>696814</v>
      </c>
      <c r="Q33" s="15">
        <v>694478</v>
      </c>
      <c r="R33" s="15">
        <v>748192</v>
      </c>
      <c r="S33" s="15">
        <v>745860</v>
      </c>
      <c r="T33" s="15">
        <v>752604</v>
      </c>
      <c r="U33" s="15">
        <v>817340</v>
      </c>
      <c r="V33" s="15">
        <v>839076</v>
      </c>
      <c r="W33" s="15">
        <v>827400</v>
      </c>
    </row>
    <row r="34" spans="1:23">
      <c r="A34" s="9"/>
      <c r="B34" s="9"/>
      <c r="C34" s="9"/>
      <c r="D34" s="9"/>
      <c r="E34" s="9"/>
      <c r="F34" s="9"/>
    </row>
    <row r="35" spans="1:23">
      <c r="A35" s="2" t="s">
        <v>67</v>
      </c>
    </row>
    <row r="36" spans="1:23" ht="7.5" customHeight="1">
      <c r="A36" s="1"/>
    </row>
    <row r="37" spans="1:23">
      <c r="A37" s="79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>
        <v>53.8</v>
      </c>
      <c r="M37" s="79">
        <v>54.35</v>
      </c>
      <c r="N37" s="79">
        <v>53.5</v>
      </c>
      <c r="O37" s="79">
        <v>52.8</v>
      </c>
      <c r="P37" s="79">
        <v>53.35</v>
      </c>
      <c r="Q37" s="79">
        <v>53.65</v>
      </c>
      <c r="R37" s="79">
        <v>54.7</v>
      </c>
      <c r="S37" s="79">
        <v>54.95</v>
      </c>
      <c r="T37" s="79">
        <v>54.9</v>
      </c>
      <c r="U37" s="79">
        <v>55.3</v>
      </c>
      <c r="V37" s="79">
        <v>55.7</v>
      </c>
      <c r="W37" s="79">
        <v>55.55</v>
      </c>
    </row>
    <row r="38" spans="1:2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spans="1:23">
      <c r="A39" s="11" t="s">
        <v>22</v>
      </c>
      <c r="G39" s="2"/>
      <c r="H39" s="2"/>
      <c r="I39" s="2"/>
      <c r="J39" s="2"/>
      <c r="K39" s="2"/>
      <c r="N39" s="79"/>
      <c r="O39" s="79"/>
      <c r="P39" s="79"/>
      <c r="Q39" s="79"/>
      <c r="R39" s="79"/>
      <c r="S39" s="79"/>
      <c r="T39" s="79"/>
      <c r="U39" s="79"/>
      <c r="V39" s="79"/>
    </row>
    <row r="40" spans="1:23">
      <c r="A40" s="11" t="s">
        <v>68</v>
      </c>
      <c r="G40" s="2"/>
      <c r="H40" s="2"/>
      <c r="I40" s="2"/>
      <c r="J40" s="2"/>
      <c r="K40" s="2"/>
      <c r="N40" s="79"/>
      <c r="O40" s="79"/>
      <c r="P40" s="79"/>
      <c r="Q40" s="79"/>
      <c r="R40" s="79"/>
      <c r="S40" s="79"/>
      <c r="T40" s="79"/>
      <c r="U40" s="79"/>
      <c r="V40" s="79"/>
    </row>
    <row r="41" spans="1:23">
      <c r="A41" s="11" t="s">
        <v>78</v>
      </c>
      <c r="G41" s="2"/>
      <c r="H41" s="2"/>
      <c r="I41" s="2"/>
      <c r="J41" s="2"/>
      <c r="K41" s="2"/>
      <c r="N41" s="79"/>
      <c r="O41" s="79"/>
      <c r="P41" s="79"/>
      <c r="Q41" s="79"/>
      <c r="R41" s="79"/>
      <c r="S41" s="79"/>
      <c r="T41" s="79"/>
      <c r="U41" s="79"/>
      <c r="V41" s="79"/>
    </row>
    <row r="42" spans="1:2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</row>
    <row r="43" spans="1:23">
      <c r="A43" s="11"/>
      <c r="F43" s="11"/>
    </row>
    <row r="44" spans="1:23">
      <c r="F44" s="11"/>
    </row>
    <row r="45" spans="1:23">
      <c r="A45" s="11" t="s">
        <v>35</v>
      </c>
      <c r="F45" s="11"/>
    </row>
    <row r="46" spans="1:23">
      <c r="F46" s="11"/>
    </row>
    <row r="53" spans="12:12">
      <c r="L53" s="79"/>
    </row>
    <row r="54" spans="12:12">
      <c r="L54" s="11"/>
    </row>
    <row r="55" spans="12:12">
      <c r="L55" s="11"/>
    </row>
    <row r="56" spans="12:12">
      <c r="L56" s="11"/>
    </row>
    <row r="57" spans="12:12">
      <c r="L57" s="15"/>
    </row>
  </sheetData>
  <mergeCells count="1">
    <mergeCell ref="A5:F5"/>
  </mergeCells>
  <pageMargins left="0.55118110236220474" right="0" top="0.78740157480314965" bottom="0" header="0" footer="0"/>
  <pageSetup paperSize="9" scale="67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72C4-2E50-4EC8-8508-DED63F7895F3}">
  <sheetPr>
    <pageSetUpPr fitToPage="1"/>
  </sheetPr>
  <dimension ref="A1:R51"/>
  <sheetViews>
    <sheetView zoomScaleNormal="100" workbookViewId="0">
      <selection activeCell="J28" sqref="J28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6.140625" style="2" customWidth="1"/>
    <col min="7" max="14" width="8.85546875" style="2" customWidth="1"/>
    <col min="15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6.140625" style="2" customWidth="1"/>
    <col min="263" max="270" width="8.85546875" style="2" customWidth="1"/>
    <col min="271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6.140625" style="2" customWidth="1"/>
    <col min="519" max="526" width="8.85546875" style="2" customWidth="1"/>
    <col min="527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6.140625" style="2" customWidth="1"/>
    <col min="775" max="782" width="8.85546875" style="2" customWidth="1"/>
    <col min="783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6.140625" style="2" customWidth="1"/>
    <col min="1031" max="1038" width="8.85546875" style="2" customWidth="1"/>
    <col min="1039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6.140625" style="2" customWidth="1"/>
    <col min="1287" max="1294" width="8.85546875" style="2" customWidth="1"/>
    <col min="1295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6.140625" style="2" customWidth="1"/>
    <col min="1543" max="1550" width="8.85546875" style="2" customWidth="1"/>
    <col min="1551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6.140625" style="2" customWidth="1"/>
    <col min="1799" max="1806" width="8.85546875" style="2" customWidth="1"/>
    <col min="1807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6.140625" style="2" customWidth="1"/>
    <col min="2055" max="2062" width="8.85546875" style="2" customWidth="1"/>
    <col min="2063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6.140625" style="2" customWidth="1"/>
    <col min="2311" max="2318" width="8.85546875" style="2" customWidth="1"/>
    <col min="2319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6.140625" style="2" customWidth="1"/>
    <col min="2567" max="2574" width="8.85546875" style="2" customWidth="1"/>
    <col min="2575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6.140625" style="2" customWidth="1"/>
    <col min="2823" max="2830" width="8.85546875" style="2" customWidth="1"/>
    <col min="2831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6.140625" style="2" customWidth="1"/>
    <col min="3079" max="3086" width="8.85546875" style="2" customWidth="1"/>
    <col min="3087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6.140625" style="2" customWidth="1"/>
    <col min="3335" max="3342" width="8.85546875" style="2" customWidth="1"/>
    <col min="3343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6.140625" style="2" customWidth="1"/>
    <col min="3591" max="3598" width="8.85546875" style="2" customWidth="1"/>
    <col min="3599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6.140625" style="2" customWidth="1"/>
    <col min="3847" max="3854" width="8.85546875" style="2" customWidth="1"/>
    <col min="3855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6.140625" style="2" customWidth="1"/>
    <col min="4103" max="4110" width="8.85546875" style="2" customWidth="1"/>
    <col min="4111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6.140625" style="2" customWidth="1"/>
    <col min="4359" max="4366" width="8.85546875" style="2" customWidth="1"/>
    <col min="4367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6.140625" style="2" customWidth="1"/>
    <col min="4615" max="4622" width="8.85546875" style="2" customWidth="1"/>
    <col min="4623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6.140625" style="2" customWidth="1"/>
    <col min="4871" max="4878" width="8.85546875" style="2" customWidth="1"/>
    <col min="4879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6.140625" style="2" customWidth="1"/>
    <col min="5127" max="5134" width="8.85546875" style="2" customWidth="1"/>
    <col min="5135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6.140625" style="2" customWidth="1"/>
    <col min="5383" max="5390" width="8.85546875" style="2" customWidth="1"/>
    <col min="5391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6.140625" style="2" customWidth="1"/>
    <col min="5639" max="5646" width="8.85546875" style="2" customWidth="1"/>
    <col min="5647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6.140625" style="2" customWidth="1"/>
    <col min="5895" max="5902" width="8.85546875" style="2" customWidth="1"/>
    <col min="5903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6.140625" style="2" customWidth="1"/>
    <col min="6151" max="6158" width="8.85546875" style="2" customWidth="1"/>
    <col min="6159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6.140625" style="2" customWidth="1"/>
    <col min="6407" max="6414" width="8.85546875" style="2" customWidth="1"/>
    <col min="6415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6.140625" style="2" customWidth="1"/>
    <col min="6663" max="6670" width="8.85546875" style="2" customWidth="1"/>
    <col min="6671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6.140625" style="2" customWidth="1"/>
    <col min="6919" max="6926" width="8.85546875" style="2" customWidth="1"/>
    <col min="6927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6.140625" style="2" customWidth="1"/>
    <col min="7175" max="7182" width="8.85546875" style="2" customWidth="1"/>
    <col min="7183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6.140625" style="2" customWidth="1"/>
    <col min="7431" max="7438" width="8.85546875" style="2" customWidth="1"/>
    <col min="7439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6.140625" style="2" customWidth="1"/>
    <col min="7687" max="7694" width="8.85546875" style="2" customWidth="1"/>
    <col min="7695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6.140625" style="2" customWidth="1"/>
    <col min="7943" max="7950" width="8.85546875" style="2" customWidth="1"/>
    <col min="7951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6.140625" style="2" customWidth="1"/>
    <col min="8199" max="8206" width="8.85546875" style="2" customWidth="1"/>
    <col min="8207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6.140625" style="2" customWidth="1"/>
    <col min="8455" max="8462" width="8.85546875" style="2" customWidth="1"/>
    <col min="8463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6.140625" style="2" customWidth="1"/>
    <col min="8711" max="8718" width="8.85546875" style="2" customWidth="1"/>
    <col min="8719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6.140625" style="2" customWidth="1"/>
    <col min="8967" max="8974" width="8.85546875" style="2" customWidth="1"/>
    <col min="8975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6.140625" style="2" customWidth="1"/>
    <col min="9223" max="9230" width="8.85546875" style="2" customWidth="1"/>
    <col min="9231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6.140625" style="2" customWidth="1"/>
    <col min="9479" max="9486" width="8.85546875" style="2" customWidth="1"/>
    <col min="9487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6.140625" style="2" customWidth="1"/>
    <col min="9735" max="9742" width="8.85546875" style="2" customWidth="1"/>
    <col min="9743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6.140625" style="2" customWidth="1"/>
    <col min="9991" max="9998" width="8.85546875" style="2" customWidth="1"/>
    <col min="9999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6.140625" style="2" customWidth="1"/>
    <col min="10247" max="10254" width="8.85546875" style="2" customWidth="1"/>
    <col min="10255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6.140625" style="2" customWidth="1"/>
    <col min="10503" max="10510" width="8.85546875" style="2" customWidth="1"/>
    <col min="10511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6.140625" style="2" customWidth="1"/>
    <col min="10759" max="10766" width="8.85546875" style="2" customWidth="1"/>
    <col min="10767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6.140625" style="2" customWidth="1"/>
    <col min="11015" max="11022" width="8.85546875" style="2" customWidth="1"/>
    <col min="11023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6.140625" style="2" customWidth="1"/>
    <col min="11271" max="11278" width="8.85546875" style="2" customWidth="1"/>
    <col min="11279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6.140625" style="2" customWidth="1"/>
    <col min="11527" max="11534" width="8.85546875" style="2" customWidth="1"/>
    <col min="11535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6.140625" style="2" customWidth="1"/>
    <col min="11783" max="11790" width="8.85546875" style="2" customWidth="1"/>
    <col min="11791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6.140625" style="2" customWidth="1"/>
    <col min="12039" max="12046" width="8.85546875" style="2" customWidth="1"/>
    <col min="12047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6.140625" style="2" customWidth="1"/>
    <col min="12295" max="12302" width="8.85546875" style="2" customWidth="1"/>
    <col min="12303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6.140625" style="2" customWidth="1"/>
    <col min="12551" max="12558" width="8.85546875" style="2" customWidth="1"/>
    <col min="12559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6.140625" style="2" customWidth="1"/>
    <col min="12807" max="12814" width="8.85546875" style="2" customWidth="1"/>
    <col min="12815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6.140625" style="2" customWidth="1"/>
    <col min="13063" max="13070" width="8.85546875" style="2" customWidth="1"/>
    <col min="13071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6.140625" style="2" customWidth="1"/>
    <col min="13319" max="13326" width="8.85546875" style="2" customWidth="1"/>
    <col min="13327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6.140625" style="2" customWidth="1"/>
    <col min="13575" max="13582" width="8.85546875" style="2" customWidth="1"/>
    <col min="13583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6.140625" style="2" customWidth="1"/>
    <col min="13831" max="13838" width="8.85546875" style="2" customWidth="1"/>
    <col min="13839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6.140625" style="2" customWidth="1"/>
    <col min="14087" max="14094" width="8.85546875" style="2" customWidth="1"/>
    <col min="14095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6.140625" style="2" customWidth="1"/>
    <col min="14343" max="14350" width="8.85546875" style="2" customWidth="1"/>
    <col min="14351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6.140625" style="2" customWidth="1"/>
    <col min="14599" max="14606" width="8.85546875" style="2" customWidth="1"/>
    <col min="14607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6.140625" style="2" customWidth="1"/>
    <col min="14855" max="14862" width="8.85546875" style="2" customWidth="1"/>
    <col min="14863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6.140625" style="2" customWidth="1"/>
    <col min="15111" max="15118" width="8.85546875" style="2" customWidth="1"/>
    <col min="15119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6.140625" style="2" customWidth="1"/>
    <col min="15367" max="15374" width="8.85546875" style="2" customWidth="1"/>
    <col min="15375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6.140625" style="2" customWidth="1"/>
    <col min="15623" max="15630" width="8.85546875" style="2" customWidth="1"/>
    <col min="15631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6.140625" style="2" customWidth="1"/>
    <col min="15879" max="15886" width="8.85546875" style="2" customWidth="1"/>
    <col min="15887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6.140625" style="2" customWidth="1"/>
    <col min="16135" max="16142" width="8.85546875" style="2" customWidth="1"/>
    <col min="16143" max="16384" width="9.140625" style="2"/>
  </cols>
  <sheetData>
    <row r="1" spans="1:18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8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6" t="s">
        <v>24</v>
      </c>
      <c r="J5" s="77" t="s">
        <v>26</v>
      </c>
      <c r="K5" s="77" t="s">
        <v>27</v>
      </c>
      <c r="L5" s="77" t="s">
        <v>36</v>
      </c>
      <c r="M5" s="77" t="s">
        <v>28</v>
      </c>
      <c r="N5" s="77" t="s">
        <v>29</v>
      </c>
      <c r="O5" s="77" t="s">
        <v>39</v>
      </c>
      <c r="P5" s="77" t="s">
        <v>31</v>
      </c>
      <c r="Q5" s="77" t="s">
        <v>32</v>
      </c>
      <c r="R5" s="78" t="s">
        <v>33</v>
      </c>
    </row>
    <row r="6" spans="1:18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+G9+G16</f>
        <v>602257.78399999999</v>
      </c>
      <c r="H7" s="126">
        <f t="shared" si="0"/>
        <v>609205.42700000003</v>
      </c>
      <c r="I7" s="126">
        <f t="shared" si="0"/>
        <v>611838.42700000003</v>
      </c>
      <c r="J7" s="126">
        <f t="shared" si="0"/>
        <v>603488.42700000003</v>
      </c>
      <c r="K7" s="126">
        <f t="shared" si="0"/>
        <v>633566.42700000003</v>
      </c>
      <c r="L7" s="126">
        <f t="shared" si="0"/>
        <v>629946.42700000003</v>
      </c>
      <c r="M7" s="126">
        <f t="shared" si="0"/>
        <v>662814.42700000003</v>
      </c>
      <c r="N7" s="126">
        <f t="shared" si="0"/>
        <v>668744.42700000003</v>
      </c>
      <c r="O7" s="126">
        <f t="shared" si="0"/>
        <v>690059.42700000003</v>
      </c>
      <c r="P7" s="126">
        <f t="shared" si="0"/>
        <v>698769.42700000003</v>
      </c>
      <c r="Q7" s="126">
        <f t="shared" si="0"/>
        <v>704979.42700000003</v>
      </c>
      <c r="R7" s="126">
        <f t="shared" si="0"/>
        <v>708538.91099999996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 t="shared" ref="G9:L9" si="1">+G11+G12</f>
        <v>21083.784</v>
      </c>
      <c r="H9" s="13">
        <f t="shared" si="1"/>
        <v>21102.427</v>
      </c>
      <c r="I9" s="13">
        <f t="shared" si="1"/>
        <v>21037.427</v>
      </c>
      <c r="J9" s="13">
        <f t="shared" si="1"/>
        <v>20960.427</v>
      </c>
      <c r="K9" s="13">
        <f t="shared" si="1"/>
        <v>20950.427</v>
      </c>
      <c r="L9" s="13">
        <f t="shared" si="1"/>
        <v>20951.427</v>
      </c>
      <c r="M9" s="13">
        <f>+M11+M12</f>
        <v>20982.427</v>
      </c>
      <c r="N9" s="13">
        <f>+N11+N12</f>
        <v>20964.427</v>
      </c>
      <c r="O9" s="13">
        <f>+O11+O12</f>
        <v>20934.427</v>
      </c>
      <c r="P9" s="13">
        <f>+P11+P12</f>
        <v>20914.427</v>
      </c>
      <c r="Q9" s="13">
        <f>+Q11+Q12+1</f>
        <v>22652.427</v>
      </c>
      <c r="R9" s="13">
        <f>+R11+R12</f>
        <v>22634.911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20900.357</v>
      </c>
      <c r="H11" s="15">
        <v>20919</v>
      </c>
      <c r="I11" s="15">
        <v>20854</v>
      </c>
      <c r="J11" s="15">
        <v>20777</v>
      </c>
      <c r="K11" s="15">
        <v>20767</v>
      </c>
      <c r="L11" s="15">
        <v>20768</v>
      </c>
      <c r="M11" s="15">
        <v>20799</v>
      </c>
      <c r="N11" s="15">
        <v>20781</v>
      </c>
      <c r="O11" s="15">
        <v>20751</v>
      </c>
      <c r="P11" s="15">
        <v>20731</v>
      </c>
      <c r="Q11" s="15">
        <v>22468</v>
      </c>
      <c r="R11" s="15">
        <v>22451.484</v>
      </c>
    </row>
    <row r="12" spans="1:18">
      <c r="B12" s="2" t="s">
        <v>135</v>
      </c>
      <c r="G12" s="14">
        <f t="shared" ref="G12:R12" si="2">+SUM(G13:G14)</f>
        <v>183.42699999999999</v>
      </c>
      <c r="H12" s="14">
        <f t="shared" si="2"/>
        <v>183.42699999999999</v>
      </c>
      <c r="I12" s="14">
        <f t="shared" si="2"/>
        <v>183.42699999999999</v>
      </c>
      <c r="J12" s="14">
        <f t="shared" si="2"/>
        <v>183.42699999999999</v>
      </c>
      <c r="K12" s="14">
        <f t="shared" si="2"/>
        <v>183.42699999999999</v>
      </c>
      <c r="L12" s="14">
        <f t="shared" si="2"/>
        <v>183.42699999999999</v>
      </c>
      <c r="M12" s="14">
        <f t="shared" si="2"/>
        <v>183.42699999999999</v>
      </c>
      <c r="N12" s="14">
        <f t="shared" si="2"/>
        <v>183.42699999999999</v>
      </c>
      <c r="O12" s="14">
        <f t="shared" si="2"/>
        <v>183.42699999999999</v>
      </c>
      <c r="P12" s="14">
        <f t="shared" si="2"/>
        <v>183.42699999999999</v>
      </c>
      <c r="Q12" s="14">
        <f t="shared" si="2"/>
        <v>183.42699999999999</v>
      </c>
      <c r="R12" s="14">
        <f t="shared" si="2"/>
        <v>183.42699999999999</v>
      </c>
    </row>
    <row r="13" spans="1:18">
      <c r="C13" s="2" t="s">
        <v>13</v>
      </c>
      <c r="G13" s="15">
        <v>36.826000000000001</v>
      </c>
      <c r="H13" s="15">
        <v>36.826000000000001</v>
      </c>
      <c r="I13" s="15">
        <v>36.826000000000001</v>
      </c>
      <c r="J13" s="15">
        <v>36.826000000000001</v>
      </c>
      <c r="K13" s="15">
        <v>36.826000000000001</v>
      </c>
      <c r="L13" s="15">
        <v>36.826000000000001</v>
      </c>
      <c r="M13" s="15">
        <v>36.826000000000001</v>
      </c>
      <c r="N13" s="15">
        <v>36.826000000000001</v>
      </c>
      <c r="O13" s="15">
        <v>36.826000000000001</v>
      </c>
      <c r="P13" s="15">
        <v>36.826000000000001</v>
      </c>
      <c r="Q13" s="15">
        <v>36.826000000000001</v>
      </c>
      <c r="R13" s="15">
        <v>36.826000000000001</v>
      </c>
    </row>
    <row r="14" spans="1:18">
      <c r="C14" s="2" t="s">
        <v>15</v>
      </c>
      <c r="G14" s="15">
        <v>146.601</v>
      </c>
      <c r="H14" s="15">
        <v>146.601</v>
      </c>
      <c r="I14" s="15">
        <v>146.601</v>
      </c>
      <c r="J14" s="15">
        <v>146.601</v>
      </c>
      <c r="K14" s="15">
        <v>146.601</v>
      </c>
      <c r="L14" s="15">
        <v>146.601</v>
      </c>
      <c r="M14" s="15">
        <v>146.601</v>
      </c>
      <c r="N14" s="15">
        <v>146.601</v>
      </c>
      <c r="O14" s="15">
        <v>146.601</v>
      </c>
      <c r="P14" s="15">
        <v>146.601</v>
      </c>
      <c r="Q14" s="15">
        <v>146.601</v>
      </c>
      <c r="R14" s="15">
        <v>146.601</v>
      </c>
    </row>
    <row r="15" spans="1:18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" t="s">
        <v>136</v>
      </c>
      <c r="B16" s="1"/>
      <c r="C16" s="1"/>
      <c r="D16" s="1"/>
      <c r="E16" s="1"/>
      <c r="F16" s="1"/>
      <c r="G16" s="13">
        <f t="shared" ref="G16:R16" si="3">+G18+G19</f>
        <v>581174</v>
      </c>
      <c r="H16" s="13">
        <f t="shared" si="3"/>
        <v>588103</v>
      </c>
      <c r="I16" s="13">
        <f t="shared" si="3"/>
        <v>590801</v>
      </c>
      <c r="J16" s="13">
        <f t="shared" si="3"/>
        <v>582528</v>
      </c>
      <c r="K16" s="13">
        <f t="shared" si="3"/>
        <v>612616</v>
      </c>
      <c r="L16" s="13">
        <f t="shared" si="3"/>
        <v>608995</v>
      </c>
      <c r="M16" s="13">
        <f t="shared" si="3"/>
        <v>641832</v>
      </c>
      <c r="N16" s="13">
        <f t="shared" si="3"/>
        <v>647780</v>
      </c>
      <c r="O16" s="13">
        <f t="shared" si="3"/>
        <v>669125</v>
      </c>
      <c r="P16" s="13">
        <f t="shared" si="3"/>
        <v>677855</v>
      </c>
      <c r="Q16" s="13">
        <f t="shared" si="3"/>
        <v>682327</v>
      </c>
      <c r="R16" s="13">
        <f t="shared" si="3"/>
        <v>685904</v>
      </c>
    </row>
    <row r="17" spans="1:18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B18" s="2" t="s">
        <v>134</v>
      </c>
      <c r="G18" s="15">
        <v>566218</v>
      </c>
      <c r="H18" s="15">
        <v>572933</v>
      </c>
      <c r="I18" s="15">
        <v>575982</v>
      </c>
      <c r="J18" s="15">
        <v>567843</v>
      </c>
      <c r="K18" s="15">
        <v>597498</v>
      </c>
      <c r="L18" s="15">
        <v>593995</v>
      </c>
      <c r="M18" s="15">
        <v>627884</v>
      </c>
      <c r="N18" s="15">
        <v>633705</v>
      </c>
      <c r="O18" s="15">
        <v>654560</v>
      </c>
      <c r="P18" s="15">
        <v>663055</v>
      </c>
      <c r="Q18" s="15">
        <v>667371</v>
      </c>
      <c r="R18" s="15">
        <v>670778</v>
      </c>
    </row>
    <row r="19" spans="1:18">
      <c r="B19" s="2" t="s">
        <v>135</v>
      </c>
      <c r="G19" s="14">
        <f t="shared" ref="G19:R19" si="4">+SUM(G20:G23)</f>
        <v>14956</v>
      </c>
      <c r="H19" s="14">
        <f t="shared" si="4"/>
        <v>15170</v>
      </c>
      <c r="I19" s="14">
        <f t="shared" si="4"/>
        <v>14819</v>
      </c>
      <c r="J19" s="14">
        <f t="shared" si="4"/>
        <v>14685</v>
      </c>
      <c r="K19" s="14">
        <f t="shared" si="4"/>
        <v>15118</v>
      </c>
      <c r="L19" s="14">
        <f t="shared" si="4"/>
        <v>15000</v>
      </c>
      <c r="M19" s="14">
        <f t="shared" si="4"/>
        <v>13948</v>
      </c>
      <c r="N19" s="14">
        <f t="shared" si="4"/>
        <v>14075</v>
      </c>
      <c r="O19" s="14">
        <f t="shared" si="4"/>
        <v>14565</v>
      </c>
      <c r="P19" s="14">
        <f t="shared" si="4"/>
        <v>14800</v>
      </c>
      <c r="Q19" s="14">
        <f t="shared" si="4"/>
        <v>14956</v>
      </c>
      <c r="R19" s="14">
        <f t="shared" si="4"/>
        <v>15126</v>
      </c>
    </row>
    <row r="20" spans="1:18">
      <c r="C20" s="2" t="s">
        <v>12</v>
      </c>
      <c r="G20" s="15">
        <v>6269</v>
      </c>
      <c r="H20" s="15">
        <v>6343</v>
      </c>
      <c r="I20" s="15">
        <v>6224</v>
      </c>
      <c r="J20" s="15">
        <v>6144</v>
      </c>
      <c r="K20" s="15">
        <v>6230</v>
      </c>
      <c r="L20" s="15">
        <v>6250</v>
      </c>
      <c r="M20" s="15">
        <v>6179</v>
      </c>
      <c r="N20" s="15">
        <v>6229</v>
      </c>
      <c r="O20" s="15">
        <v>6286</v>
      </c>
      <c r="P20" s="15">
        <v>6353</v>
      </c>
      <c r="Q20" s="15">
        <v>6398</v>
      </c>
      <c r="R20" s="15">
        <v>6404</v>
      </c>
    </row>
    <row r="21" spans="1:18">
      <c r="C21" s="2" t="s">
        <v>13</v>
      </c>
      <c r="G21" s="15">
        <v>8275</v>
      </c>
      <c r="H21" s="15">
        <v>8411</v>
      </c>
      <c r="I21" s="15">
        <v>8186</v>
      </c>
      <c r="J21" s="15">
        <v>8134</v>
      </c>
      <c r="K21" s="15">
        <v>8466</v>
      </c>
      <c r="L21" s="15">
        <v>8334</v>
      </c>
      <c r="M21" s="15">
        <v>7394</v>
      </c>
      <c r="N21" s="15">
        <v>7472</v>
      </c>
      <c r="O21" s="15">
        <v>7895</v>
      </c>
      <c r="P21" s="15">
        <v>8059</v>
      </c>
      <c r="Q21" s="15">
        <v>8164</v>
      </c>
      <c r="R21" s="15">
        <v>8324</v>
      </c>
    </row>
    <row r="22" spans="1:18">
      <c r="C22" s="2" t="s">
        <v>21</v>
      </c>
      <c r="G22" s="15">
        <v>222</v>
      </c>
      <c r="H22" s="15">
        <v>224</v>
      </c>
      <c r="I22" s="15">
        <v>220</v>
      </c>
      <c r="J22" s="15">
        <v>218</v>
      </c>
      <c r="K22" s="15">
        <v>220</v>
      </c>
      <c r="L22" s="15">
        <v>219</v>
      </c>
      <c r="M22" s="15">
        <v>201</v>
      </c>
      <c r="N22" s="15">
        <v>202</v>
      </c>
      <c r="O22" s="15">
        <v>202</v>
      </c>
      <c r="P22" s="15">
        <v>203</v>
      </c>
      <c r="Q22" s="15">
        <v>205</v>
      </c>
      <c r="R22" s="15">
        <v>202</v>
      </c>
    </row>
    <row r="23" spans="1:18">
      <c r="C23" s="2" t="s">
        <v>15</v>
      </c>
      <c r="G23" s="15">
        <v>190</v>
      </c>
      <c r="H23" s="15">
        <v>192</v>
      </c>
      <c r="I23" s="15">
        <v>189</v>
      </c>
      <c r="J23" s="15">
        <v>189</v>
      </c>
      <c r="K23" s="15">
        <v>202</v>
      </c>
      <c r="L23" s="15">
        <v>197</v>
      </c>
      <c r="M23" s="15">
        <v>174</v>
      </c>
      <c r="N23" s="15">
        <v>172</v>
      </c>
      <c r="O23" s="15">
        <v>182</v>
      </c>
      <c r="P23" s="15">
        <v>185</v>
      </c>
      <c r="Q23" s="15">
        <v>189</v>
      </c>
      <c r="R23" s="15">
        <v>196</v>
      </c>
    </row>
    <row r="24" spans="1:18">
      <c r="G24" s="15"/>
    </row>
    <row r="25" spans="1:18">
      <c r="A25" s="9"/>
      <c r="B25" s="9"/>
      <c r="C25" s="9"/>
      <c r="D25" s="9"/>
      <c r="E25" s="9"/>
      <c r="F25" s="9"/>
    </row>
    <row r="26" spans="1:18">
      <c r="A26" s="2" t="s">
        <v>80</v>
      </c>
    </row>
    <row r="27" spans="1:18">
      <c r="A27" s="1"/>
    </row>
    <row r="28" spans="1:18">
      <c r="A28" s="1"/>
    </row>
    <row r="29" spans="1:18">
      <c r="A29" s="1"/>
    </row>
    <row r="30" spans="1:18">
      <c r="A30" s="1"/>
    </row>
    <row r="31" spans="1:18">
      <c r="A31" s="1"/>
    </row>
    <row r="32" spans="1:18">
      <c r="A32" s="1"/>
    </row>
    <row r="33" spans="1:7">
      <c r="A33" s="79"/>
      <c r="B33" s="79"/>
      <c r="C33" s="79"/>
      <c r="D33" s="79"/>
      <c r="E33" s="79"/>
      <c r="F33" s="79"/>
      <c r="G33" s="79"/>
    </row>
    <row r="34" spans="1:7">
      <c r="A34" s="11" t="s">
        <v>22</v>
      </c>
    </row>
    <row r="35" spans="1:7">
      <c r="A35" s="11" t="s">
        <v>68</v>
      </c>
    </row>
    <row r="36" spans="1:7">
      <c r="A36" s="11" t="s">
        <v>149</v>
      </c>
      <c r="F36" s="11"/>
    </row>
    <row r="37" spans="1:7">
      <c r="A37" s="48" t="s">
        <v>150</v>
      </c>
    </row>
    <row r="38" spans="1:7">
      <c r="F38" s="11"/>
    </row>
    <row r="39" spans="1:7">
      <c r="A39" s="11" t="s">
        <v>35</v>
      </c>
      <c r="F39" s="11"/>
    </row>
    <row r="40" spans="1:7">
      <c r="F40" s="11"/>
    </row>
    <row r="47" spans="1:7">
      <c r="G47" s="79"/>
    </row>
    <row r="48" spans="1:7">
      <c r="G48" s="11"/>
    </row>
    <row r="49" spans="7:7">
      <c r="G49" s="11"/>
    </row>
    <row r="50" spans="7:7">
      <c r="G50" s="11"/>
    </row>
    <row r="51" spans="7:7">
      <c r="G51" s="15"/>
    </row>
  </sheetData>
  <mergeCells count="1">
    <mergeCell ref="A5:F5"/>
  </mergeCells>
  <pageMargins left="0.74803149606299213" right="0" top="0.98425196850393704" bottom="0" header="0" footer="0"/>
  <pageSetup paperSize="9" scale="7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2">
    <pageSetUpPr fitToPage="1"/>
  </sheetPr>
  <dimension ref="A1:R56"/>
  <sheetViews>
    <sheetView workbookViewId="0">
      <selection activeCell="H33" sqref="H33"/>
    </sheetView>
  </sheetViews>
  <sheetFormatPr defaultRowHeight="16.5"/>
  <cols>
    <col min="1" max="1" width="2.28515625" style="2" customWidth="1"/>
    <col min="2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8.28515625" style="2" customWidth="1"/>
    <col min="7" max="18" width="10.140625" style="2" bestFit="1" customWidth="1"/>
    <col min="19" max="256" width="9.140625" style="2"/>
    <col min="257" max="257" width="2.28515625" style="2" customWidth="1"/>
    <col min="258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8.28515625" style="2" customWidth="1"/>
    <col min="263" max="274" width="8.85546875" style="2" customWidth="1"/>
    <col min="275" max="512" width="9.140625" style="2"/>
    <col min="513" max="513" width="2.28515625" style="2" customWidth="1"/>
    <col min="514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8.28515625" style="2" customWidth="1"/>
    <col min="519" max="530" width="8.85546875" style="2" customWidth="1"/>
    <col min="531" max="768" width="9.140625" style="2"/>
    <col min="769" max="769" width="2.28515625" style="2" customWidth="1"/>
    <col min="770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8.28515625" style="2" customWidth="1"/>
    <col min="775" max="786" width="8.85546875" style="2" customWidth="1"/>
    <col min="787" max="1024" width="9.140625" style="2"/>
    <col min="1025" max="1025" width="2.28515625" style="2" customWidth="1"/>
    <col min="1026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8.28515625" style="2" customWidth="1"/>
    <col min="1031" max="1042" width="8.85546875" style="2" customWidth="1"/>
    <col min="1043" max="1280" width="9.140625" style="2"/>
    <col min="1281" max="1281" width="2.28515625" style="2" customWidth="1"/>
    <col min="1282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8.28515625" style="2" customWidth="1"/>
    <col min="1287" max="1298" width="8.85546875" style="2" customWidth="1"/>
    <col min="1299" max="1536" width="9.140625" style="2"/>
    <col min="1537" max="1537" width="2.28515625" style="2" customWidth="1"/>
    <col min="1538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8.28515625" style="2" customWidth="1"/>
    <col min="1543" max="1554" width="8.85546875" style="2" customWidth="1"/>
    <col min="1555" max="1792" width="9.140625" style="2"/>
    <col min="1793" max="1793" width="2.28515625" style="2" customWidth="1"/>
    <col min="1794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8.28515625" style="2" customWidth="1"/>
    <col min="1799" max="1810" width="8.85546875" style="2" customWidth="1"/>
    <col min="1811" max="2048" width="9.140625" style="2"/>
    <col min="2049" max="2049" width="2.28515625" style="2" customWidth="1"/>
    <col min="2050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8.28515625" style="2" customWidth="1"/>
    <col min="2055" max="2066" width="8.85546875" style="2" customWidth="1"/>
    <col min="2067" max="2304" width="9.140625" style="2"/>
    <col min="2305" max="2305" width="2.28515625" style="2" customWidth="1"/>
    <col min="2306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8.28515625" style="2" customWidth="1"/>
    <col min="2311" max="2322" width="8.85546875" style="2" customWidth="1"/>
    <col min="2323" max="2560" width="9.140625" style="2"/>
    <col min="2561" max="2561" width="2.28515625" style="2" customWidth="1"/>
    <col min="2562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8.28515625" style="2" customWidth="1"/>
    <col min="2567" max="2578" width="8.85546875" style="2" customWidth="1"/>
    <col min="2579" max="2816" width="9.140625" style="2"/>
    <col min="2817" max="2817" width="2.28515625" style="2" customWidth="1"/>
    <col min="2818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8.28515625" style="2" customWidth="1"/>
    <col min="2823" max="2834" width="8.85546875" style="2" customWidth="1"/>
    <col min="2835" max="3072" width="9.140625" style="2"/>
    <col min="3073" max="3073" width="2.28515625" style="2" customWidth="1"/>
    <col min="3074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8.28515625" style="2" customWidth="1"/>
    <col min="3079" max="3090" width="8.85546875" style="2" customWidth="1"/>
    <col min="3091" max="3328" width="9.140625" style="2"/>
    <col min="3329" max="3329" width="2.28515625" style="2" customWidth="1"/>
    <col min="3330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8.28515625" style="2" customWidth="1"/>
    <col min="3335" max="3346" width="8.85546875" style="2" customWidth="1"/>
    <col min="3347" max="3584" width="9.140625" style="2"/>
    <col min="3585" max="3585" width="2.28515625" style="2" customWidth="1"/>
    <col min="3586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8.28515625" style="2" customWidth="1"/>
    <col min="3591" max="3602" width="8.85546875" style="2" customWidth="1"/>
    <col min="3603" max="3840" width="9.140625" style="2"/>
    <col min="3841" max="3841" width="2.28515625" style="2" customWidth="1"/>
    <col min="3842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8.28515625" style="2" customWidth="1"/>
    <col min="3847" max="3858" width="8.85546875" style="2" customWidth="1"/>
    <col min="3859" max="4096" width="9.140625" style="2"/>
    <col min="4097" max="4097" width="2.28515625" style="2" customWidth="1"/>
    <col min="4098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8.28515625" style="2" customWidth="1"/>
    <col min="4103" max="4114" width="8.85546875" style="2" customWidth="1"/>
    <col min="4115" max="4352" width="9.140625" style="2"/>
    <col min="4353" max="4353" width="2.28515625" style="2" customWidth="1"/>
    <col min="4354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8.28515625" style="2" customWidth="1"/>
    <col min="4359" max="4370" width="8.85546875" style="2" customWidth="1"/>
    <col min="4371" max="4608" width="9.140625" style="2"/>
    <col min="4609" max="4609" width="2.28515625" style="2" customWidth="1"/>
    <col min="4610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8.28515625" style="2" customWidth="1"/>
    <col min="4615" max="4626" width="8.85546875" style="2" customWidth="1"/>
    <col min="4627" max="4864" width="9.140625" style="2"/>
    <col min="4865" max="4865" width="2.28515625" style="2" customWidth="1"/>
    <col min="4866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8.28515625" style="2" customWidth="1"/>
    <col min="4871" max="4882" width="8.85546875" style="2" customWidth="1"/>
    <col min="4883" max="5120" width="9.140625" style="2"/>
    <col min="5121" max="5121" width="2.28515625" style="2" customWidth="1"/>
    <col min="5122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8.28515625" style="2" customWidth="1"/>
    <col min="5127" max="5138" width="8.85546875" style="2" customWidth="1"/>
    <col min="5139" max="5376" width="9.140625" style="2"/>
    <col min="5377" max="5377" width="2.28515625" style="2" customWidth="1"/>
    <col min="5378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8.28515625" style="2" customWidth="1"/>
    <col min="5383" max="5394" width="8.85546875" style="2" customWidth="1"/>
    <col min="5395" max="5632" width="9.140625" style="2"/>
    <col min="5633" max="5633" width="2.28515625" style="2" customWidth="1"/>
    <col min="5634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8.28515625" style="2" customWidth="1"/>
    <col min="5639" max="5650" width="8.85546875" style="2" customWidth="1"/>
    <col min="5651" max="5888" width="9.140625" style="2"/>
    <col min="5889" max="5889" width="2.28515625" style="2" customWidth="1"/>
    <col min="5890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8.28515625" style="2" customWidth="1"/>
    <col min="5895" max="5906" width="8.85546875" style="2" customWidth="1"/>
    <col min="5907" max="6144" width="9.140625" style="2"/>
    <col min="6145" max="6145" width="2.28515625" style="2" customWidth="1"/>
    <col min="6146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8.28515625" style="2" customWidth="1"/>
    <col min="6151" max="6162" width="8.85546875" style="2" customWidth="1"/>
    <col min="6163" max="6400" width="9.140625" style="2"/>
    <col min="6401" max="6401" width="2.28515625" style="2" customWidth="1"/>
    <col min="6402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8.28515625" style="2" customWidth="1"/>
    <col min="6407" max="6418" width="8.85546875" style="2" customWidth="1"/>
    <col min="6419" max="6656" width="9.140625" style="2"/>
    <col min="6657" max="6657" width="2.28515625" style="2" customWidth="1"/>
    <col min="6658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8.28515625" style="2" customWidth="1"/>
    <col min="6663" max="6674" width="8.85546875" style="2" customWidth="1"/>
    <col min="6675" max="6912" width="9.140625" style="2"/>
    <col min="6913" max="6913" width="2.28515625" style="2" customWidth="1"/>
    <col min="6914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8.28515625" style="2" customWidth="1"/>
    <col min="6919" max="6930" width="8.85546875" style="2" customWidth="1"/>
    <col min="6931" max="7168" width="9.140625" style="2"/>
    <col min="7169" max="7169" width="2.28515625" style="2" customWidth="1"/>
    <col min="7170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8.28515625" style="2" customWidth="1"/>
    <col min="7175" max="7186" width="8.85546875" style="2" customWidth="1"/>
    <col min="7187" max="7424" width="9.140625" style="2"/>
    <col min="7425" max="7425" width="2.28515625" style="2" customWidth="1"/>
    <col min="7426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8.28515625" style="2" customWidth="1"/>
    <col min="7431" max="7442" width="8.85546875" style="2" customWidth="1"/>
    <col min="7443" max="7680" width="9.140625" style="2"/>
    <col min="7681" max="7681" width="2.28515625" style="2" customWidth="1"/>
    <col min="7682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8.28515625" style="2" customWidth="1"/>
    <col min="7687" max="7698" width="8.85546875" style="2" customWidth="1"/>
    <col min="7699" max="7936" width="9.140625" style="2"/>
    <col min="7937" max="7937" width="2.28515625" style="2" customWidth="1"/>
    <col min="7938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8.28515625" style="2" customWidth="1"/>
    <col min="7943" max="7954" width="8.85546875" style="2" customWidth="1"/>
    <col min="7955" max="8192" width="9.140625" style="2"/>
    <col min="8193" max="8193" width="2.28515625" style="2" customWidth="1"/>
    <col min="8194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8.28515625" style="2" customWidth="1"/>
    <col min="8199" max="8210" width="8.85546875" style="2" customWidth="1"/>
    <col min="8211" max="8448" width="9.140625" style="2"/>
    <col min="8449" max="8449" width="2.28515625" style="2" customWidth="1"/>
    <col min="8450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8.28515625" style="2" customWidth="1"/>
    <col min="8455" max="8466" width="8.85546875" style="2" customWidth="1"/>
    <col min="8467" max="8704" width="9.140625" style="2"/>
    <col min="8705" max="8705" width="2.28515625" style="2" customWidth="1"/>
    <col min="8706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8.28515625" style="2" customWidth="1"/>
    <col min="8711" max="8722" width="8.85546875" style="2" customWidth="1"/>
    <col min="8723" max="8960" width="9.140625" style="2"/>
    <col min="8961" max="8961" width="2.28515625" style="2" customWidth="1"/>
    <col min="8962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8.28515625" style="2" customWidth="1"/>
    <col min="8967" max="8978" width="8.85546875" style="2" customWidth="1"/>
    <col min="8979" max="9216" width="9.140625" style="2"/>
    <col min="9217" max="9217" width="2.28515625" style="2" customWidth="1"/>
    <col min="9218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8.28515625" style="2" customWidth="1"/>
    <col min="9223" max="9234" width="8.85546875" style="2" customWidth="1"/>
    <col min="9235" max="9472" width="9.140625" style="2"/>
    <col min="9473" max="9473" width="2.28515625" style="2" customWidth="1"/>
    <col min="9474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8.28515625" style="2" customWidth="1"/>
    <col min="9479" max="9490" width="8.85546875" style="2" customWidth="1"/>
    <col min="9491" max="9728" width="9.140625" style="2"/>
    <col min="9729" max="9729" width="2.28515625" style="2" customWidth="1"/>
    <col min="9730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8.28515625" style="2" customWidth="1"/>
    <col min="9735" max="9746" width="8.85546875" style="2" customWidth="1"/>
    <col min="9747" max="9984" width="9.140625" style="2"/>
    <col min="9985" max="9985" width="2.28515625" style="2" customWidth="1"/>
    <col min="9986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8.28515625" style="2" customWidth="1"/>
    <col min="9991" max="10002" width="8.85546875" style="2" customWidth="1"/>
    <col min="10003" max="10240" width="9.140625" style="2"/>
    <col min="10241" max="10241" width="2.28515625" style="2" customWidth="1"/>
    <col min="10242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8.28515625" style="2" customWidth="1"/>
    <col min="10247" max="10258" width="8.85546875" style="2" customWidth="1"/>
    <col min="10259" max="10496" width="9.140625" style="2"/>
    <col min="10497" max="10497" width="2.28515625" style="2" customWidth="1"/>
    <col min="10498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8.28515625" style="2" customWidth="1"/>
    <col min="10503" max="10514" width="8.85546875" style="2" customWidth="1"/>
    <col min="10515" max="10752" width="9.140625" style="2"/>
    <col min="10753" max="10753" width="2.28515625" style="2" customWidth="1"/>
    <col min="10754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8.28515625" style="2" customWidth="1"/>
    <col min="10759" max="10770" width="8.85546875" style="2" customWidth="1"/>
    <col min="10771" max="11008" width="9.140625" style="2"/>
    <col min="11009" max="11009" width="2.28515625" style="2" customWidth="1"/>
    <col min="11010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8.28515625" style="2" customWidth="1"/>
    <col min="11015" max="11026" width="8.85546875" style="2" customWidth="1"/>
    <col min="11027" max="11264" width="9.140625" style="2"/>
    <col min="11265" max="11265" width="2.28515625" style="2" customWidth="1"/>
    <col min="11266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8.28515625" style="2" customWidth="1"/>
    <col min="11271" max="11282" width="8.85546875" style="2" customWidth="1"/>
    <col min="11283" max="11520" width="9.140625" style="2"/>
    <col min="11521" max="11521" width="2.28515625" style="2" customWidth="1"/>
    <col min="11522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8.28515625" style="2" customWidth="1"/>
    <col min="11527" max="11538" width="8.85546875" style="2" customWidth="1"/>
    <col min="11539" max="11776" width="9.140625" style="2"/>
    <col min="11777" max="11777" width="2.28515625" style="2" customWidth="1"/>
    <col min="11778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8.28515625" style="2" customWidth="1"/>
    <col min="11783" max="11794" width="8.85546875" style="2" customWidth="1"/>
    <col min="11795" max="12032" width="9.140625" style="2"/>
    <col min="12033" max="12033" width="2.28515625" style="2" customWidth="1"/>
    <col min="12034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8.28515625" style="2" customWidth="1"/>
    <col min="12039" max="12050" width="8.85546875" style="2" customWidth="1"/>
    <col min="12051" max="12288" width="9.140625" style="2"/>
    <col min="12289" max="12289" width="2.28515625" style="2" customWidth="1"/>
    <col min="12290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8.28515625" style="2" customWidth="1"/>
    <col min="12295" max="12306" width="8.85546875" style="2" customWidth="1"/>
    <col min="12307" max="12544" width="9.140625" style="2"/>
    <col min="12545" max="12545" width="2.28515625" style="2" customWidth="1"/>
    <col min="12546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8.28515625" style="2" customWidth="1"/>
    <col min="12551" max="12562" width="8.85546875" style="2" customWidth="1"/>
    <col min="12563" max="12800" width="9.140625" style="2"/>
    <col min="12801" max="12801" width="2.28515625" style="2" customWidth="1"/>
    <col min="12802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8.28515625" style="2" customWidth="1"/>
    <col min="12807" max="12818" width="8.85546875" style="2" customWidth="1"/>
    <col min="12819" max="13056" width="9.140625" style="2"/>
    <col min="13057" max="13057" width="2.28515625" style="2" customWidth="1"/>
    <col min="13058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8.28515625" style="2" customWidth="1"/>
    <col min="13063" max="13074" width="8.85546875" style="2" customWidth="1"/>
    <col min="13075" max="13312" width="9.140625" style="2"/>
    <col min="13313" max="13313" width="2.28515625" style="2" customWidth="1"/>
    <col min="13314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8.28515625" style="2" customWidth="1"/>
    <col min="13319" max="13330" width="8.85546875" style="2" customWidth="1"/>
    <col min="13331" max="13568" width="9.140625" style="2"/>
    <col min="13569" max="13569" width="2.28515625" style="2" customWidth="1"/>
    <col min="13570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8.28515625" style="2" customWidth="1"/>
    <col min="13575" max="13586" width="8.85546875" style="2" customWidth="1"/>
    <col min="13587" max="13824" width="9.140625" style="2"/>
    <col min="13825" max="13825" width="2.28515625" style="2" customWidth="1"/>
    <col min="13826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8.28515625" style="2" customWidth="1"/>
    <col min="13831" max="13842" width="8.85546875" style="2" customWidth="1"/>
    <col min="13843" max="14080" width="9.140625" style="2"/>
    <col min="14081" max="14081" width="2.28515625" style="2" customWidth="1"/>
    <col min="14082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8.28515625" style="2" customWidth="1"/>
    <col min="14087" max="14098" width="8.85546875" style="2" customWidth="1"/>
    <col min="14099" max="14336" width="9.140625" style="2"/>
    <col min="14337" max="14337" width="2.28515625" style="2" customWidth="1"/>
    <col min="14338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8.28515625" style="2" customWidth="1"/>
    <col min="14343" max="14354" width="8.85546875" style="2" customWidth="1"/>
    <col min="14355" max="14592" width="9.140625" style="2"/>
    <col min="14593" max="14593" width="2.28515625" style="2" customWidth="1"/>
    <col min="14594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8.28515625" style="2" customWidth="1"/>
    <col min="14599" max="14610" width="8.85546875" style="2" customWidth="1"/>
    <col min="14611" max="14848" width="9.140625" style="2"/>
    <col min="14849" max="14849" width="2.28515625" style="2" customWidth="1"/>
    <col min="14850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8.28515625" style="2" customWidth="1"/>
    <col min="14855" max="14866" width="8.85546875" style="2" customWidth="1"/>
    <col min="14867" max="15104" width="9.140625" style="2"/>
    <col min="15105" max="15105" width="2.28515625" style="2" customWidth="1"/>
    <col min="15106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8.28515625" style="2" customWidth="1"/>
    <col min="15111" max="15122" width="8.85546875" style="2" customWidth="1"/>
    <col min="15123" max="15360" width="9.140625" style="2"/>
    <col min="15361" max="15361" width="2.28515625" style="2" customWidth="1"/>
    <col min="15362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8.28515625" style="2" customWidth="1"/>
    <col min="15367" max="15378" width="8.85546875" style="2" customWidth="1"/>
    <col min="15379" max="15616" width="9.140625" style="2"/>
    <col min="15617" max="15617" width="2.28515625" style="2" customWidth="1"/>
    <col min="15618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8.28515625" style="2" customWidth="1"/>
    <col min="15623" max="15634" width="8.85546875" style="2" customWidth="1"/>
    <col min="15635" max="15872" width="9.140625" style="2"/>
    <col min="15873" max="15873" width="2.28515625" style="2" customWidth="1"/>
    <col min="15874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8.28515625" style="2" customWidth="1"/>
    <col min="15879" max="15890" width="8.85546875" style="2" customWidth="1"/>
    <col min="15891" max="16128" width="9.140625" style="2"/>
    <col min="16129" max="16129" width="2.28515625" style="2" customWidth="1"/>
    <col min="16130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8.28515625" style="2" customWidth="1"/>
    <col min="16135" max="16146" width="8.85546875" style="2" customWidth="1"/>
    <col min="16147" max="16384" width="9.140625" style="2"/>
  </cols>
  <sheetData>
    <row r="1" spans="1:18">
      <c r="A1" s="1" t="s">
        <v>25</v>
      </c>
    </row>
    <row r="2" spans="1:18">
      <c r="A2" s="1" t="s">
        <v>79</v>
      </c>
      <c r="F2" s="1" t="s">
        <v>35</v>
      </c>
    </row>
    <row r="3" spans="1:18">
      <c r="A3" s="2" t="s">
        <v>0</v>
      </c>
    </row>
    <row r="4" spans="1:18" ht="12" customHeight="1">
      <c r="I4" s="9"/>
      <c r="L4" s="9"/>
      <c r="N4" s="9"/>
      <c r="P4" s="9"/>
      <c r="Q4" s="9"/>
    </row>
    <row r="5" spans="1:18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7" t="s">
        <v>28</v>
      </c>
      <c r="N5" s="77" t="s">
        <v>29</v>
      </c>
      <c r="O5" s="77" t="s">
        <v>30</v>
      </c>
      <c r="P5" s="77" t="s">
        <v>31</v>
      </c>
      <c r="Q5" s="77" t="s">
        <v>32</v>
      </c>
      <c r="R5" s="78" t="s">
        <v>33</v>
      </c>
    </row>
    <row r="6" spans="1:18" ht="9" customHeight="1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82">
        <v>2426859</v>
      </c>
      <c r="H7" s="82">
        <v>2435384.67545</v>
      </c>
      <c r="I7" s="82">
        <v>2501125.2749999999</v>
      </c>
      <c r="J7" s="82">
        <v>2545094.9089500001</v>
      </c>
      <c r="K7" s="82">
        <v>2579668.9268999998</v>
      </c>
      <c r="L7" s="82">
        <v>2649878</v>
      </c>
      <c r="M7" s="82">
        <v>2657553.7396999998</v>
      </c>
      <c r="N7" s="82">
        <v>2695341</v>
      </c>
      <c r="O7" s="82">
        <v>2715682</v>
      </c>
      <c r="P7" s="82">
        <v>2765200</v>
      </c>
      <c r="Q7" s="82">
        <v>2860211</v>
      </c>
      <c r="R7" s="82">
        <v>2815468</v>
      </c>
    </row>
    <row r="8" spans="1:18" ht="7.5" customHeight="1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/>
      <c r="B9" s="1" t="s">
        <v>59</v>
      </c>
      <c r="C9" s="1"/>
      <c r="D9" s="1"/>
      <c r="E9" s="1"/>
      <c r="F9" s="1"/>
      <c r="G9" s="13">
        <v>1263333</v>
      </c>
      <c r="H9" s="13">
        <v>1270846</v>
      </c>
      <c r="I9" s="13">
        <v>1276803</v>
      </c>
      <c r="J9" s="13">
        <v>1315762</v>
      </c>
      <c r="K9" s="13">
        <v>1351612</v>
      </c>
      <c r="L9" s="13">
        <v>1398262</v>
      </c>
      <c r="M9" s="13">
        <v>1392219</v>
      </c>
      <c r="N9" s="13">
        <v>1407958</v>
      </c>
      <c r="O9" s="13">
        <v>1412483</v>
      </c>
      <c r="P9" s="13">
        <v>1446086</v>
      </c>
      <c r="Q9" s="13">
        <v>1489844</v>
      </c>
      <c r="R9" s="13">
        <v>1471202</v>
      </c>
    </row>
    <row r="10" spans="1:18">
      <c r="C10" s="2" t="s">
        <v>9</v>
      </c>
      <c r="G10" s="14">
        <v>1249542</v>
      </c>
      <c r="H10" s="14">
        <v>1257021</v>
      </c>
      <c r="I10" s="14">
        <v>1263023</v>
      </c>
      <c r="J10" s="14">
        <v>1302094</v>
      </c>
      <c r="K10" s="14">
        <v>1338113</v>
      </c>
      <c r="L10" s="14">
        <v>1387463</v>
      </c>
      <c r="M10" s="14">
        <v>1381310</v>
      </c>
      <c r="N10" s="14">
        <v>1396939</v>
      </c>
      <c r="O10" s="14">
        <v>1401354</v>
      </c>
      <c r="P10" s="14">
        <v>1434840</v>
      </c>
      <c r="Q10" s="14">
        <v>1478522</v>
      </c>
      <c r="R10" s="14">
        <v>1462950</v>
      </c>
    </row>
    <row r="11" spans="1:18">
      <c r="D11" s="2" t="s">
        <v>88</v>
      </c>
      <c r="G11" s="15">
        <v>1234222</v>
      </c>
      <c r="H11" s="15">
        <v>1241157</v>
      </c>
      <c r="I11" s="15">
        <v>1247159</v>
      </c>
      <c r="J11" s="15">
        <v>1286235</v>
      </c>
      <c r="K11" s="15">
        <v>1322255</v>
      </c>
      <c r="L11" s="15">
        <v>1371606</v>
      </c>
      <c r="M11" s="15">
        <v>1365451</v>
      </c>
      <c r="N11" s="15">
        <v>1381079</v>
      </c>
      <c r="O11" s="15">
        <v>1385493</v>
      </c>
      <c r="P11" s="15">
        <v>1418978</v>
      </c>
      <c r="Q11" s="15">
        <v>1462659</v>
      </c>
      <c r="R11" s="15">
        <v>1447341</v>
      </c>
    </row>
    <row r="12" spans="1:18">
      <c r="D12" s="2" t="s">
        <v>2</v>
      </c>
      <c r="G12" s="15">
        <v>15320</v>
      </c>
      <c r="H12" s="15">
        <v>15864</v>
      </c>
      <c r="I12" s="15">
        <v>15864</v>
      </c>
      <c r="J12" s="15">
        <v>15859</v>
      </c>
      <c r="K12" s="15">
        <v>15858</v>
      </c>
      <c r="L12" s="15">
        <v>15857</v>
      </c>
      <c r="M12" s="15">
        <v>15859</v>
      </c>
      <c r="N12" s="15">
        <v>15860</v>
      </c>
      <c r="O12" s="15">
        <v>15861</v>
      </c>
      <c r="P12" s="15">
        <v>15862</v>
      </c>
      <c r="Q12" s="15">
        <v>15863</v>
      </c>
      <c r="R12" s="15">
        <v>15609</v>
      </c>
    </row>
    <row r="13" spans="1:18">
      <c r="D13" s="2" t="s">
        <v>3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</row>
    <row r="14" spans="1:18" ht="7.5" customHeight="1"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>
      <c r="C15" s="2" t="s">
        <v>60</v>
      </c>
      <c r="G15" s="14">
        <v>13791</v>
      </c>
      <c r="H15" s="14">
        <v>13825</v>
      </c>
      <c r="I15" s="14">
        <v>13780</v>
      </c>
      <c r="J15" s="14">
        <v>13668</v>
      </c>
      <c r="K15" s="14">
        <v>13499</v>
      </c>
      <c r="L15" s="14">
        <v>10799</v>
      </c>
      <c r="M15" s="14">
        <v>10909</v>
      </c>
      <c r="N15" s="14">
        <v>11019</v>
      </c>
      <c r="O15" s="14">
        <v>11129</v>
      </c>
      <c r="P15" s="14">
        <v>11246</v>
      </c>
      <c r="Q15" s="14">
        <v>11322</v>
      </c>
      <c r="R15" s="14">
        <v>8252</v>
      </c>
    </row>
    <row r="16" spans="1:18">
      <c r="D16" s="2" t="s">
        <v>12</v>
      </c>
      <c r="G16" s="15">
        <v>3820</v>
      </c>
      <c r="H16" s="15">
        <v>3831</v>
      </c>
      <c r="I16" s="15">
        <v>3816</v>
      </c>
      <c r="J16" s="15">
        <v>3779</v>
      </c>
      <c r="K16" s="15">
        <v>3723</v>
      </c>
      <c r="L16" s="15">
        <v>2826</v>
      </c>
      <c r="M16" s="15">
        <v>2862</v>
      </c>
      <c r="N16" s="15">
        <v>2899</v>
      </c>
      <c r="O16" s="15">
        <v>2935</v>
      </c>
      <c r="P16" s="15">
        <v>2974</v>
      </c>
      <c r="Q16" s="15">
        <v>2999</v>
      </c>
      <c r="R16" s="15">
        <v>1979</v>
      </c>
    </row>
    <row r="17" spans="1:18">
      <c r="D17" s="2" t="s">
        <v>13</v>
      </c>
      <c r="G17" s="15">
        <v>9717</v>
      </c>
      <c r="H17" s="15">
        <v>9739</v>
      </c>
      <c r="I17" s="15">
        <v>9710</v>
      </c>
      <c r="J17" s="15">
        <v>9638</v>
      </c>
      <c r="K17" s="15">
        <v>9529</v>
      </c>
      <c r="L17" s="15">
        <v>7784</v>
      </c>
      <c r="M17" s="15">
        <v>7855</v>
      </c>
      <c r="N17" s="15">
        <v>7926</v>
      </c>
      <c r="O17" s="15">
        <v>7997</v>
      </c>
      <c r="P17" s="15">
        <v>8073</v>
      </c>
      <c r="Q17" s="15">
        <v>8122</v>
      </c>
      <c r="R17" s="15">
        <v>6138</v>
      </c>
    </row>
    <row r="18" spans="1:18">
      <c r="D18" s="2" t="s">
        <v>14</v>
      </c>
      <c r="G18" s="15">
        <v>248</v>
      </c>
      <c r="H18" s="15">
        <v>249</v>
      </c>
      <c r="I18" s="15">
        <v>248</v>
      </c>
      <c r="J18" s="15">
        <v>245</v>
      </c>
      <c r="K18" s="15">
        <v>241</v>
      </c>
      <c r="L18" s="15">
        <v>183</v>
      </c>
      <c r="M18" s="15">
        <v>186</v>
      </c>
      <c r="N18" s="15">
        <v>188</v>
      </c>
      <c r="O18" s="15">
        <v>191</v>
      </c>
      <c r="P18" s="15">
        <v>193</v>
      </c>
      <c r="Q18" s="15">
        <v>195</v>
      </c>
      <c r="R18" s="15">
        <v>129</v>
      </c>
    </row>
    <row r="19" spans="1:18">
      <c r="D19" s="2" t="s">
        <v>15</v>
      </c>
      <c r="G19" s="15">
        <v>6</v>
      </c>
      <c r="H19" s="15">
        <v>6</v>
      </c>
      <c r="I19" s="15">
        <v>6</v>
      </c>
      <c r="J19" s="15">
        <v>6</v>
      </c>
      <c r="K19" s="15">
        <v>6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  <c r="R19" s="15">
        <v>6</v>
      </c>
    </row>
    <row r="20" spans="1:18" ht="7.5" customHeight="1"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"/>
      <c r="B21" s="1" t="s">
        <v>125</v>
      </c>
      <c r="C21" s="1"/>
      <c r="D21" s="1"/>
      <c r="E21" s="1"/>
      <c r="F21" s="1"/>
      <c r="G21" s="13">
        <v>1163526</v>
      </c>
      <c r="H21" s="13">
        <v>1164538.67545</v>
      </c>
      <c r="I21" s="13">
        <v>1224322.2749999999</v>
      </c>
      <c r="J21" s="13">
        <v>1229332.9089500001</v>
      </c>
      <c r="K21" s="13">
        <v>1228056.9268999998</v>
      </c>
      <c r="L21" s="13">
        <v>1251616</v>
      </c>
      <c r="M21" s="13">
        <v>1265334.7397</v>
      </c>
      <c r="N21" s="13">
        <v>1287383</v>
      </c>
      <c r="O21" s="13">
        <v>1303199</v>
      </c>
      <c r="P21" s="13">
        <v>1319114</v>
      </c>
      <c r="Q21" s="13">
        <v>1370367</v>
      </c>
      <c r="R21" s="13">
        <v>1344266</v>
      </c>
    </row>
    <row r="22" spans="1:18">
      <c r="C22" s="2" t="s">
        <v>9</v>
      </c>
      <c r="G22" s="14">
        <v>620262</v>
      </c>
      <c r="H22" s="14">
        <v>623911</v>
      </c>
      <c r="I22" s="14">
        <v>633702</v>
      </c>
      <c r="J22" s="14">
        <v>641327</v>
      </c>
      <c r="K22" s="14">
        <v>645225</v>
      </c>
      <c r="L22" s="14">
        <v>662876</v>
      </c>
      <c r="M22" s="14">
        <v>670516</v>
      </c>
      <c r="N22" s="14">
        <v>683944</v>
      </c>
      <c r="O22" s="14">
        <v>678782</v>
      </c>
      <c r="P22" s="14">
        <v>686569</v>
      </c>
      <c r="Q22" s="14">
        <v>704934</v>
      </c>
      <c r="R22" s="14">
        <v>705414</v>
      </c>
    </row>
    <row r="23" spans="1:18">
      <c r="D23" s="2" t="s">
        <v>2</v>
      </c>
      <c r="G23" s="15">
        <v>538879</v>
      </c>
      <c r="H23" s="15">
        <v>542260</v>
      </c>
      <c r="I23" s="15">
        <v>550670</v>
      </c>
      <c r="J23" s="15">
        <v>556201</v>
      </c>
      <c r="K23" s="15">
        <v>558866</v>
      </c>
      <c r="L23" s="15">
        <v>573584</v>
      </c>
      <c r="M23" s="15">
        <v>580514</v>
      </c>
      <c r="N23" s="15">
        <v>591385</v>
      </c>
      <c r="O23" s="15">
        <v>588317</v>
      </c>
      <c r="P23" s="15">
        <v>596551</v>
      </c>
      <c r="Q23" s="15">
        <v>613327</v>
      </c>
      <c r="R23" s="15">
        <v>613292</v>
      </c>
    </row>
    <row r="24" spans="1:18">
      <c r="D24" s="2" t="s">
        <v>3</v>
      </c>
      <c r="G24" s="15">
        <v>81383</v>
      </c>
      <c r="H24" s="15">
        <v>81651</v>
      </c>
      <c r="I24" s="15">
        <v>83032</v>
      </c>
      <c r="J24" s="15">
        <v>85126</v>
      </c>
      <c r="K24" s="15">
        <v>86359</v>
      </c>
      <c r="L24" s="15">
        <v>89292</v>
      </c>
      <c r="M24" s="15">
        <v>90002</v>
      </c>
      <c r="N24" s="15">
        <v>92559</v>
      </c>
      <c r="O24" s="15">
        <v>90465</v>
      </c>
      <c r="P24" s="15">
        <v>90018</v>
      </c>
      <c r="Q24" s="15">
        <v>91607</v>
      </c>
      <c r="R24" s="15">
        <v>92122</v>
      </c>
    </row>
    <row r="25" spans="1:18"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>
      <c r="C26" s="2" t="s">
        <v>60</v>
      </c>
      <c r="G26" s="14">
        <v>10560</v>
      </c>
      <c r="H26" s="14">
        <v>10586.675450000001</v>
      </c>
      <c r="I26" s="14">
        <v>10528.275000000001</v>
      </c>
      <c r="J26" s="14">
        <v>10422.908949999999</v>
      </c>
      <c r="K26" s="14">
        <v>10290.926899999999</v>
      </c>
      <c r="L26" s="14">
        <v>10397</v>
      </c>
      <c r="M26" s="14">
        <v>9519.7397000000001</v>
      </c>
      <c r="N26" s="14">
        <v>9649</v>
      </c>
      <c r="O26" s="14">
        <v>9753</v>
      </c>
      <c r="P26" s="14">
        <v>9881</v>
      </c>
      <c r="Q26" s="14">
        <v>9944</v>
      </c>
      <c r="R26" s="14">
        <v>9815</v>
      </c>
    </row>
    <row r="27" spans="1:18">
      <c r="D27" s="2" t="s">
        <v>12</v>
      </c>
      <c r="G27" s="15">
        <v>235</v>
      </c>
      <c r="H27" s="15">
        <v>235.59380000000002</v>
      </c>
      <c r="I27" s="15">
        <v>234.67619999999999</v>
      </c>
      <c r="J27" s="15">
        <v>232.38220000000001</v>
      </c>
      <c r="K27" s="15">
        <v>228.94120000000001</v>
      </c>
      <c r="L27" s="15">
        <v>192</v>
      </c>
      <c r="M27" s="15">
        <v>187.0044</v>
      </c>
      <c r="N27" s="15">
        <v>189</v>
      </c>
      <c r="O27" s="15">
        <v>192</v>
      </c>
      <c r="P27" s="15">
        <v>194</v>
      </c>
      <c r="Q27" s="15">
        <v>196</v>
      </c>
      <c r="R27" s="15">
        <v>152</v>
      </c>
    </row>
    <row r="28" spans="1:18">
      <c r="D28" s="2" t="s">
        <v>13</v>
      </c>
      <c r="G28" s="15">
        <v>1654</v>
      </c>
      <c r="H28" s="15">
        <v>1655.5240000000001</v>
      </c>
      <c r="I28" s="15">
        <v>1653.1168500000001</v>
      </c>
      <c r="J28" s="15">
        <v>1652.4056</v>
      </c>
      <c r="K28" s="15">
        <v>1644.1052</v>
      </c>
      <c r="L28" s="15">
        <v>1679</v>
      </c>
      <c r="M28" s="15">
        <v>1531.17525</v>
      </c>
      <c r="N28" s="15">
        <v>1557</v>
      </c>
      <c r="O28" s="15">
        <v>1563</v>
      </c>
      <c r="P28" s="15">
        <v>1582</v>
      </c>
      <c r="Q28" s="15">
        <v>1599</v>
      </c>
      <c r="R28" s="15">
        <v>1592</v>
      </c>
    </row>
    <row r="29" spans="1:18">
      <c r="D29" s="2" t="s">
        <v>14</v>
      </c>
      <c r="G29" s="15">
        <v>8215</v>
      </c>
      <c r="H29" s="15">
        <v>8238.3886000000002</v>
      </c>
      <c r="I29" s="15">
        <v>8207.5290000000005</v>
      </c>
      <c r="J29" s="15">
        <v>8131.6548999999995</v>
      </c>
      <c r="K29" s="15">
        <v>8015.7363999999998</v>
      </c>
      <c r="L29" s="15">
        <v>8116</v>
      </c>
      <c r="M29" s="15">
        <v>7397.7733499999995</v>
      </c>
      <c r="N29" s="15">
        <v>7494</v>
      </c>
      <c r="O29" s="15">
        <v>7583</v>
      </c>
      <c r="P29" s="15">
        <v>7684</v>
      </c>
      <c r="Q29" s="15">
        <v>7750</v>
      </c>
      <c r="R29" s="15">
        <v>7673</v>
      </c>
    </row>
    <row r="30" spans="1:18">
      <c r="D30" s="2" t="s">
        <v>15</v>
      </c>
      <c r="G30" s="15">
        <v>398</v>
      </c>
      <c r="H30" s="15">
        <v>399.14355</v>
      </c>
      <c r="I30" s="15">
        <v>374</v>
      </c>
      <c r="J30" s="15">
        <v>348.72524999999996</v>
      </c>
      <c r="K30" s="15">
        <v>344.75909999999999</v>
      </c>
      <c r="L30" s="15">
        <v>351</v>
      </c>
      <c r="M30" s="15">
        <v>350.7867</v>
      </c>
      <c r="N30" s="15">
        <v>355</v>
      </c>
      <c r="O30" s="15">
        <v>360</v>
      </c>
      <c r="P30" s="15">
        <v>365</v>
      </c>
      <c r="Q30" s="15">
        <v>343</v>
      </c>
      <c r="R30" s="15">
        <v>342</v>
      </c>
    </row>
    <row r="31" spans="1:18">
      <c r="D31" s="2" t="s">
        <v>16</v>
      </c>
      <c r="G31" s="15">
        <v>58</v>
      </c>
      <c r="H31" s="15">
        <v>58.025499999999994</v>
      </c>
      <c r="I31" s="15">
        <v>57.952950000000001</v>
      </c>
      <c r="J31" s="15">
        <v>57.740999999999993</v>
      </c>
      <c r="K31" s="15">
        <v>57.384999999999991</v>
      </c>
      <c r="L31" s="15">
        <v>59</v>
      </c>
      <c r="M31" s="15">
        <v>53</v>
      </c>
      <c r="N31" s="15">
        <v>54</v>
      </c>
      <c r="O31" s="15">
        <v>55</v>
      </c>
      <c r="P31" s="15">
        <v>56</v>
      </c>
      <c r="Q31" s="15">
        <v>56</v>
      </c>
      <c r="R31" s="15">
        <v>56</v>
      </c>
    </row>
    <row r="32" spans="1:18"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>
      <c r="C33" s="2" t="s">
        <v>66</v>
      </c>
      <c r="G33" s="15">
        <v>532704</v>
      </c>
      <c r="H33" s="15">
        <v>530041</v>
      </c>
      <c r="I33" s="15">
        <v>580092</v>
      </c>
      <c r="J33" s="15">
        <v>577583</v>
      </c>
      <c r="K33" s="15">
        <v>572541</v>
      </c>
      <c r="L33" s="15">
        <v>578343</v>
      </c>
      <c r="M33" s="15">
        <v>585299</v>
      </c>
      <c r="N33" s="15">
        <v>593790</v>
      </c>
      <c r="O33" s="15">
        <v>614664</v>
      </c>
      <c r="P33" s="15">
        <v>622664</v>
      </c>
      <c r="Q33" s="15">
        <v>655489</v>
      </c>
      <c r="R33" s="15">
        <v>629037</v>
      </c>
    </row>
    <row r="34" spans="1:18">
      <c r="A34" s="9"/>
      <c r="B34" s="9"/>
      <c r="C34" s="9"/>
      <c r="D34" s="9"/>
      <c r="E34" s="9"/>
      <c r="F34" s="9"/>
    </row>
    <row r="35" spans="1:18">
      <c r="A35" s="2" t="s">
        <v>80</v>
      </c>
    </row>
    <row r="36" spans="1:18">
      <c r="A36" s="1"/>
    </row>
    <row r="37" spans="1:18">
      <c r="A37" s="79" t="s">
        <v>8</v>
      </c>
      <c r="B37" s="79"/>
      <c r="C37" s="79"/>
      <c r="D37" s="79"/>
      <c r="E37" s="79"/>
      <c r="F37" s="79"/>
      <c r="G37" s="79">
        <v>51.2</v>
      </c>
      <c r="H37" s="79">
        <v>51.35</v>
      </c>
      <c r="I37" s="79">
        <v>51.15</v>
      </c>
      <c r="J37" s="79">
        <v>50.65</v>
      </c>
      <c r="K37" s="79">
        <v>49.9</v>
      </c>
      <c r="L37" s="79">
        <v>50.5</v>
      </c>
      <c r="M37" s="79">
        <v>51.15</v>
      </c>
      <c r="N37" s="79">
        <v>51.8</v>
      </c>
      <c r="O37" s="79">
        <v>52.45</v>
      </c>
      <c r="P37" s="79">
        <v>53.15</v>
      </c>
      <c r="Q37" s="79">
        <v>53.6</v>
      </c>
      <c r="R37" s="79">
        <v>53.05</v>
      </c>
    </row>
    <row r="38" spans="1:18">
      <c r="A38" s="79"/>
      <c r="B38" s="79"/>
      <c r="C38" s="79"/>
      <c r="D38" s="79"/>
      <c r="E38" s="79"/>
      <c r="F38" s="79"/>
      <c r="G38" s="79"/>
    </row>
    <row r="39" spans="1:18">
      <c r="A39" s="11" t="s">
        <v>81</v>
      </c>
    </row>
    <row r="40" spans="1:18">
      <c r="A40" s="11" t="s">
        <v>68</v>
      </c>
    </row>
    <row r="41" spans="1:18">
      <c r="A41" s="11" t="s">
        <v>82</v>
      </c>
      <c r="F41" s="11"/>
    </row>
    <row r="42" spans="1:18">
      <c r="A42" s="83" t="s">
        <v>35</v>
      </c>
    </row>
    <row r="43" spans="1:18">
      <c r="F43" s="11"/>
    </row>
    <row r="44" spans="1:18">
      <c r="A44" s="11" t="s">
        <v>35</v>
      </c>
      <c r="F44" s="11"/>
    </row>
    <row r="45" spans="1:18">
      <c r="F45" s="11"/>
    </row>
    <row r="52" spans="7:7">
      <c r="G52" s="79"/>
    </row>
    <row r="53" spans="7:7">
      <c r="G53" s="11"/>
    </row>
    <row r="54" spans="7:7">
      <c r="G54" s="11"/>
    </row>
    <row r="55" spans="7:7">
      <c r="G55" s="11"/>
    </row>
    <row r="56" spans="7:7">
      <c r="G56" s="15"/>
    </row>
  </sheetData>
  <mergeCells count="1">
    <mergeCell ref="A5:F5"/>
  </mergeCells>
  <pageMargins left="0.55118110236220474" right="0" top="0.78740157480314965" bottom="0" header="0" footer="0"/>
  <pageSetup paperSize="9" scale="67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308-7C12-43FC-A138-9529B4090D26}">
  <sheetPr>
    <pageSetUpPr fitToPage="1"/>
  </sheetPr>
  <dimension ref="A1:R47"/>
  <sheetViews>
    <sheetView workbookViewId="0">
      <selection activeCell="K26" sqref="K26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5.7109375" style="2" customWidth="1"/>
    <col min="7" max="11" width="8.85546875" style="2" customWidth="1"/>
    <col min="12" max="12" width="9.28515625" style="2" customWidth="1"/>
    <col min="13" max="15" width="8.85546875" style="2" customWidth="1"/>
    <col min="16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5.7109375" style="2" customWidth="1"/>
    <col min="263" max="267" width="8.85546875" style="2" customWidth="1"/>
    <col min="268" max="268" width="9.28515625" style="2" customWidth="1"/>
    <col min="269" max="271" width="8.85546875" style="2" customWidth="1"/>
    <col min="272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5.7109375" style="2" customWidth="1"/>
    <col min="519" max="523" width="8.85546875" style="2" customWidth="1"/>
    <col min="524" max="524" width="9.28515625" style="2" customWidth="1"/>
    <col min="525" max="527" width="8.85546875" style="2" customWidth="1"/>
    <col min="528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5.7109375" style="2" customWidth="1"/>
    <col min="775" max="779" width="8.85546875" style="2" customWidth="1"/>
    <col min="780" max="780" width="9.28515625" style="2" customWidth="1"/>
    <col min="781" max="783" width="8.85546875" style="2" customWidth="1"/>
    <col min="784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5.7109375" style="2" customWidth="1"/>
    <col min="1031" max="1035" width="8.85546875" style="2" customWidth="1"/>
    <col min="1036" max="1036" width="9.28515625" style="2" customWidth="1"/>
    <col min="1037" max="1039" width="8.85546875" style="2" customWidth="1"/>
    <col min="1040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5.7109375" style="2" customWidth="1"/>
    <col min="1287" max="1291" width="8.85546875" style="2" customWidth="1"/>
    <col min="1292" max="1292" width="9.28515625" style="2" customWidth="1"/>
    <col min="1293" max="1295" width="8.85546875" style="2" customWidth="1"/>
    <col min="1296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5.7109375" style="2" customWidth="1"/>
    <col min="1543" max="1547" width="8.85546875" style="2" customWidth="1"/>
    <col min="1548" max="1548" width="9.28515625" style="2" customWidth="1"/>
    <col min="1549" max="1551" width="8.85546875" style="2" customWidth="1"/>
    <col min="1552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5.7109375" style="2" customWidth="1"/>
    <col min="1799" max="1803" width="8.85546875" style="2" customWidth="1"/>
    <col min="1804" max="1804" width="9.28515625" style="2" customWidth="1"/>
    <col min="1805" max="1807" width="8.85546875" style="2" customWidth="1"/>
    <col min="1808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5.7109375" style="2" customWidth="1"/>
    <col min="2055" max="2059" width="8.85546875" style="2" customWidth="1"/>
    <col min="2060" max="2060" width="9.28515625" style="2" customWidth="1"/>
    <col min="2061" max="2063" width="8.85546875" style="2" customWidth="1"/>
    <col min="2064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5.7109375" style="2" customWidth="1"/>
    <col min="2311" max="2315" width="8.85546875" style="2" customWidth="1"/>
    <col min="2316" max="2316" width="9.28515625" style="2" customWidth="1"/>
    <col min="2317" max="2319" width="8.85546875" style="2" customWidth="1"/>
    <col min="2320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5.7109375" style="2" customWidth="1"/>
    <col min="2567" max="2571" width="8.85546875" style="2" customWidth="1"/>
    <col min="2572" max="2572" width="9.28515625" style="2" customWidth="1"/>
    <col min="2573" max="2575" width="8.85546875" style="2" customWidth="1"/>
    <col min="2576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5.7109375" style="2" customWidth="1"/>
    <col min="2823" max="2827" width="8.85546875" style="2" customWidth="1"/>
    <col min="2828" max="2828" width="9.28515625" style="2" customWidth="1"/>
    <col min="2829" max="2831" width="8.85546875" style="2" customWidth="1"/>
    <col min="2832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5.7109375" style="2" customWidth="1"/>
    <col min="3079" max="3083" width="8.85546875" style="2" customWidth="1"/>
    <col min="3084" max="3084" width="9.28515625" style="2" customWidth="1"/>
    <col min="3085" max="3087" width="8.85546875" style="2" customWidth="1"/>
    <col min="3088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5.7109375" style="2" customWidth="1"/>
    <col min="3335" max="3339" width="8.85546875" style="2" customWidth="1"/>
    <col min="3340" max="3340" width="9.28515625" style="2" customWidth="1"/>
    <col min="3341" max="3343" width="8.85546875" style="2" customWidth="1"/>
    <col min="3344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5.7109375" style="2" customWidth="1"/>
    <col min="3591" max="3595" width="8.85546875" style="2" customWidth="1"/>
    <col min="3596" max="3596" width="9.28515625" style="2" customWidth="1"/>
    <col min="3597" max="3599" width="8.85546875" style="2" customWidth="1"/>
    <col min="3600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5.7109375" style="2" customWidth="1"/>
    <col min="3847" max="3851" width="8.85546875" style="2" customWidth="1"/>
    <col min="3852" max="3852" width="9.28515625" style="2" customWidth="1"/>
    <col min="3853" max="3855" width="8.85546875" style="2" customWidth="1"/>
    <col min="3856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5.7109375" style="2" customWidth="1"/>
    <col min="4103" max="4107" width="8.85546875" style="2" customWidth="1"/>
    <col min="4108" max="4108" width="9.28515625" style="2" customWidth="1"/>
    <col min="4109" max="4111" width="8.85546875" style="2" customWidth="1"/>
    <col min="4112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5.7109375" style="2" customWidth="1"/>
    <col min="4359" max="4363" width="8.85546875" style="2" customWidth="1"/>
    <col min="4364" max="4364" width="9.28515625" style="2" customWidth="1"/>
    <col min="4365" max="4367" width="8.85546875" style="2" customWidth="1"/>
    <col min="4368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5.7109375" style="2" customWidth="1"/>
    <col min="4615" max="4619" width="8.85546875" style="2" customWidth="1"/>
    <col min="4620" max="4620" width="9.28515625" style="2" customWidth="1"/>
    <col min="4621" max="4623" width="8.85546875" style="2" customWidth="1"/>
    <col min="4624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5.7109375" style="2" customWidth="1"/>
    <col min="4871" max="4875" width="8.85546875" style="2" customWidth="1"/>
    <col min="4876" max="4876" width="9.28515625" style="2" customWidth="1"/>
    <col min="4877" max="4879" width="8.85546875" style="2" customWidth="1"/>
    <col min="4880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5.7109375" style="2" customWidth="1"/>
    <col min="5127" max="5131" width="8.85546875" style="2" customWidth="1"/>
    <col min="5132" max="5132" width="9.28515625" style="2" customWidth="1"/>
    <col min="5133" max="5135" width="8.85546875" style="2" customWidth="1"/>
    <col min="5136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5.7109375" style="2" customWidth="1"/>
    <col min="5383" max="5387" width="8.85546875" style="2" customWidth="1"/>
    <col min="5388" max="5388" width="9.28515625" style="2" customWidth="1"/>
    <col min="5389" max="5391" width="8.85546875" style="2" customWidth="1"/>
    <col min="5392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5.7109375" style="2" customWidth="1"/>
    <col min="5639" max="5643" width="8.85546875" style="2" customWidth="1"/>
    <col min="5644" max="5644" width="9.28515625" style="2" customWidth="1"/>
    <col min="5645" max="5647" width="8.85546875" style="2" customWidth="1"/>
    <col min="5648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5.7109375" style="2" customWidth="1"/>
    <col min="5895" max="5899" width="8.85546875" style="2" customWidth="1"/>
    <col min="5900" max="5900" width="9.28515625" style="2" customWidth="1"/>
    <col min="5901" max="5903" width="8.85546875" style="2" customWidth="1"/>
    <col min="5904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5.7109375" style="2" customWidth="1"/>
    <col min="6151" max="6155" width="8.85546875" style="2" customWidth="1"/>
    <col min="6156" max="6156" width="9.28515625" style="2" customWidth="1"/>
    <col min="6157" max="6159" width="8.85546875" style="2" customWidth="1"/>
    <col min="6160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5.7109375" style="2" customWidth="1"/>
    <col min="6407" max="6411" width="8.85546875" style="2" customWidth="1"/>
    <col min="6412" max="6412" width="9.28515625" style="2" customWidth="1"/>
    <col min="6413" max="6415" width="8.85546875" style="2" customWidth="1"/>
    <col min="6416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5.7109375" style="2" customWidth="1"/>
    <col min="6663" max="6667" width="8.85546875" style="2" customWidth="1"/>
    <col min="6668" max="6668" width="9.28515625" style="2" customWidth="1"/>
    <col min="6669" max="6671" width="8.85546875" style="2" customWidth="1"/>
    <col min="6672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5.7109375" style="2" customWidth="1"/>
    <col min="6919" max="6923" width="8.85546875" style="2" customWidth="1"/>
    <col min="6924" max="6924" width="9.28515625" style="2" customWidth="1"/>
    <col min="6925" max="6927" width="8.85546875" style="2" customWidth="1"/>
    <col min="6928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5.7109375" style="2" customWidth="1"/>
    <col min="7175" max="7179" width="8.85546875" style="2" customWidth="1"/>
    <col min="7180" max="7180" width="9.28515625" style="2" customWidth="1"/>
    <col min="7181" max="7183" width="8.85546875" style="2" customWidth="1"/>
    <col min="7184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5.7109375" style="2" customWidth="1"/>
    <col min="7431" max="7435" width="8.85546875" style="2" customWidth="1"/>
    <col min="7436" max="7436" width="9.28515625" style="2" customWidth="1"/>
    <col min="7437" max="7439" width="8.85546875" style="2" customWidth="1"/>
    <col min="7440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5.7109375" style="2" customWidth="1"/>
    <col min="7687" max="7691" width="8.85546875" style="2" customWidth="1"/>
    <col min="7692" max="7692" width="9.28515625" style="2" customWidth="1"/>
    <col min="7693" max="7695" width="8.85546875" style="2" customWidth="1"/>
    <col min="7696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5.7109375" style="2" customWidth="1"/>
    <col min="7943" max="7947" width="8.85546875" style="2" customWidth="1"/>
    <col min="7948" max="7948" width="9.28515625" style="2" customWidth="1"/>
    <col min="7949" max="7951" width="8.85546875" style="2" customWidth="1"/>
    <col min="7952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5.7109375" style="2" customWidth="1"/>
    <col min="8199" max="8203" width="8.85546875" style="2" customWidth="1"/>
    <col min="8204" max="8204" width="9.28515625" style="2" customWidth="1"/>
    <col min="8205" max="8207" width="8.85546875" style="2" customWidth="1"/>
    <col min="8208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5.7109375" style="2" customWidth="1"/>
    <col min="8455" max="8459" width="8.85546875" style="2" customWidth="1"/>
    <col min="8460" max="8460" width="9.28515625" style="2" customWidth="1"/>
    <col min="8461" max="8463" width="8.85546875" style="2" customWidth="1"/>
    <col min="8464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5.7109375" style="2" customWidth="1"/>
    <col min="8711" max="8715" width="8.85546875" style="2" customWidth="1"/>
    <col min="8716" max="8716" width="9.28515625" style="2" customWidth="1"/>
    <col min="8717" max="8719" width="8.85546875" style="2" customWidth="1"/>
    <col min="8720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5.7109375" style="2" customWidth="1"/>
    <col min="8967" max="8971" width="8.85546875" style="2" customWidth="1"/>
    <col min="8972" max="8972" width="9.28515625" style="2" customWidth="1"/>
    <col min="8973" max="8975" width="8.85546875" style="2" customWidth="1"/>
    <col min="8976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5.7109375" style="2" customWidth="1"/>
    <col min="9223" max="9227" width="8.85546875" style="2" customWidth="1"/>
    <col min="9228" max="9228" width="9.28515625" style="2" customWidth="1"/>
    <col min="9229" max="9231" width="8.85546875" style="2" customWidth="1"/>
    <col min="9232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5.7109375" style="2" customWidth="1"/>
    <col min="9479" max="9483" width="8.85546875" style="2" customWidth="1"/>
    <col min="9484" max="9484" width="9.28515625" style="2" customWidth="1"/>
    <col min="9485" max="9487" width="8.85546875" style="2" customWidth="1"/>
    <col min="9488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5.7109375" style="2" customWidth="1"/>
    <col min="9735" max="9739" width="8.85546875" style="2" customWidth="1"/>
    <col min="9740" max="9740" width="9.28515625" style="2" customWidth="1"/>
    <col min="9741" max="9743" width="8.85546875" style="2" customWidth="1"/>
    <col min="9744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5.7109375" style="2" customWidth="1"/>
    <col min="9991" max="9995" width="8.85546875" style="2" customWidth="1"/>
    <col min="9996" max="9996" width="9.28515625" style="2" customWidth="1"/>
    <col min="9997" max="9999" width="8.85546875" style="2" customWidth="1"/>
    <col min="10000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5.7109375" style="2" customWidth="1"/>
    <col min="10247" max="10251" width="8.85546875" style="2" customWidth="1"/>
    <col min="10252" max="10252" width="9.28515625" style="2" customWidth="1"/>
    <col min="10253" max="10255" width="8.85546875" style="2" customWidth="1"/>
    <col min="10256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5.7109375" style="2" customWidth="1"/>
    <col min="10503" max="10507" width="8.85546875" style="2" customWidth="1"/>
    <col min="10508" max="10508" width="9.28515625" style="2" customWidth="1"/>
    <col min="10509" max="10511" width="8.85546875" style="2" customWidth="1"/>
    <col min="10512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5.7109375" style="2" customWidth="1"/>
    <col min="10759" max="10763" width="8.85546875" style="2" customWidth="1"/>
    <col min="10764" max="10764" width="9.28515625" style="2" customWidth="1"/>
    <col min="10765" max="10767" width="8.85546875" style="2" customWidth="1"/>
    <col min="10768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5.7109375" style="2" customWidth="1"/>
    <col min="11015" max="11019" width="8.85546875" style="2" customWidth="1"/>
    <col min="11020" max="11020" width="9.28515625" style="2" customWidth="1"/>
    <col min="11021" max="11023" width="8.85546875" style="2" customWidth="1"/>
    <col min="11024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5.7109375" style="2" customWidth="1"/>
    <col min="11271" max="11275" width="8.85546875" style="2" customWidth="1"/>
    <col min="11276" max="11276" width="9.28515625" style="2" customWidth="1"/>
    <col min="11277" max="11279" width="8.85546875" style="2" customWidth="1"/>
    <col min="11280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5.7109375" style="2" customWidth="1"/>
    <col min="11527" max="11531" width="8.85546875" style="2" customWidth="1"/>
    <col min="11532" max="11532" width="9.28515625" style="2" customWidth="1"/>
    <col min="11533" max="11535" width="8.85546875" style="2" customWidth="1"/>
    <col min="11536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5.7109375" style="2" customWidth="1"/>
    <col min="11783" max="11787" width="8.85546875" style="2" customWidth="1"/>
    <col min="11788" max="11788" width="9.28515625" style="2" customWidth="1"/>
    <col min="11789" max="11791" width="8.85546875" style="2" customWidth="1"/>
    <col min="11792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5.7109375" style="2" customWidth="1"/>
    <col min="12039" max="12043" width="8.85546875" style="2" customWidth="1"/>
    <col min="12044" max="12044" width="9.28515625" style="2" customWidth="1"/>
    <col min="12045" max="12047" width="8.85546875" style="2" customWidth="1"/>
    <col min="12048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5.7109375" style="2" customWidth="1"/>
    <col min="12295" max="12299" width="8.85546875" style="2" customWidth="1"/>
    <col min="12300" max="12300" width="9.28515625" style="2" customWidth="1"/>
    <col min="12301" max="12303" width="8.85546875" style="2" customWidth="1"/>
    <col min="12304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5.7109375" style="2" customWidth="1"/>
    <col min="12551" max="12555" width="8.85546875" style="2" customWidth="1"/>
    <col min="12556" max="12556" width="9.28515625" style="2" customWidth="1"/>
    <col min="12557" max="12559" width="8.85546875" style="2" customWidth="1"/>
    <col min="12560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5.7109375" style="2" customWidth="1"/>
    <col min="12807" max="12811" width="8.85546875" style="2" customWidth="1"/>
    <col min="12812" max="12812" width="9.28515625" style="2" customWidth="1"/>
    <col min="12813" max="12815" width="8.85546875" style="2" customWidth="1"/>
    <col min="12816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5.7109375" style="2" customWidth="1"/>
    <col min="13063" max="13067" width="8.85546875" style="2" customWidth="1"/>
    <col min="13068" max="13068" width="9.28515625" style="2" customWidth="1"/>
    <col min="13069" max="13071" width="8.85546875" style="2" customWidth="1"/>
    <col min="13072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5.7109375" style="2" customWidth="1"/>
    <col min="13319" max="13323" width="8.85546875" style="2" customWidth="1"/>
    <col min="13324" max="13324" width="9.28515625" style="2" customWidth="1"/>
    <col min="13325" max="13327" width="8.85546875" style="2" customWidth="1"/>
    <col min="13328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5.7109375" style="2" customWidth="1"/>
    <col min="13575" max="13579" width="8.85546875" style="2" customWidth="1"/>
    <col min="13580" max="13580" width="9.28515625" style="2" customWidth="1"/>
    <col min="13581" max="13583" width="8.85546875" style="2" customWidth="1"/>
    <col min="13584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5.7109375" style="2" customWidth="1"/>
    <col min="13831" max="13835" width="8.85546875" style="2" customWidth="1"/>
    <col min="13836" max="13836" width="9.28515625" style="2" customWidth="1"/>
    <col min="13837" max="13839" width="8.85546875" style="2" customWidth="1"/>
    <col min="13840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5.7109375" style="2" customWidth="1"/>
    <col min="14087" max="14091" width="8.85546875" style="2" customWidth="1"/>
    <col min="14092" max="14092" width="9.28515625" style="2" customWidth="1"/>
    <col min="14093" max="14095" width="8.85546875" style="2" customWidth="1"/>
    <col min="14096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5.7109375" style="2" customWidth="1"/>
    <col min="14343" max="14347" width="8.85546875" style="2" customWidth="1"/>
    <col min="14348" max="14348" width="9.28515625" style="2" customWidth="1"/>
    <col min="14349" max="14351" width="8.85546875" style="2" customWidth="1"/>
    <col min="14352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5.7109375" style="2" customWidth="1"/>
    <col min="14599" max="14603" width="8.85546875" style="2" customWidth="1"/>
    <col min="14604" max="14604" width="9.28515625" style="2" customWidth="1"/>
    <col min="14605" max="14607" width="8.85546875" style="2" customWidth="1"/>
    <col min="14608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5.7109375" style="2" customWidth="1"/>
    <col min="14855" max="14859" width="8.85546875" style="2" customWidth="1"/>
    <col min="14860" max="14860" width="9.28515625" style="2" customWidth="1"/>
    <col min="14861" max="14863" width="8.85546875" style="2" customWidth="1"/>
    <col min="14864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5.7109375" style="2" customWidth="1"/>
    <col min="15111" max="15115" width="8.85546875" style="2" customWidth="1"/>
    <col min="15116" max="15116" width="9.28515625" style="2" customWidth="1"/>
    <col min="15117" max="15119" width="8.85546875" style="2" customWidth="1"/>
    <col min="15120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5.7109375" style="2" customWidth="1"/>
    <col min="15367" max="15371" width="8.85546875" style="2" customWidth="1"/>
    <col min="15372" max="15372" width="9.28515625" style="2" customWidth="1"/>
    <col min="15373" max="15375" width="8.85546875" style="2" customWidth="1"/>
    <col min="15376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5.7109375" style="2" customWidth="1"/>
    <col min="15623" max="15627" width="8.85546875" style="2" customWidth="1"/>
    <col min="15628" max="15628" width="9.28515625" style="2" customWidth="1"/>
    <col min="15629" max="15631" width="8.85546875" style="2" customWidth="1"/>
    <col min="15632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5.7109375" style="2" customWidth="1"/>
    <col min="15879" max="15883" width="8.85546875" style="2" customWidth="1"/>
    <col min="15884" max="15884" width="9.28515625" style="2" customWidth="1"/>
    <col min="15885" max="15887" width="8.85546875" style="2" customWidth="1"/>
    <col min="15888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5.7109375" style="2" customWidth="1"/>
    <col min="16135" max="16139" width="8.85546875" style="2" customWidth="1"/>
    <col min="16140" max="16140" width="9.28515625" style="2" customWidth="1"/>
    <col min="16141" max="16143" width="8.85546875" style="2" customWidth="1"/>
    <col min="16144" max="16384" width="9.140625" style="2"/>
  </cols>
  <sheetData>
    <row r="1" spans="1:18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" t="s">
        <v>0</v>
      </c>
    </row>
    <row r="4" spans="1:18">
      <c r="I4" s="9"/>
      <c r="J4" s="9"/>
      <c r="L4" s="9"/>
      <c r="M4" s="9"/>
      <c r="N4" s="9"/>
      <c r="P4" s="9"/>
      <c r="Q4" s="9"/>
    </row>
    <row r="5" spans="1:18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7" t="s">
        <v>28</v>
      </c>
      <c r="N5" s="77" t="s">
        <v>29</v>
      </c>
      <c r="O5" s="77" t="s">
        <v>30</v>
      </c>
      <c r="P5" s="77" t="s">
        <v>31</v>
      </c>
      <c r="Q5" s="77" t="s">
        <v>32</v>
      </c>
      <c r="R5" s="78" t="s">
        <v>33</v>
      </c>
    </row>
    <row r="6" spans="1:18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+G9+G16</f>
        <v>494546.42700000003</v>
      </c>
      <c r="H7" s="126">
        <f t="shared" si="0"/>
        <v>488508.42700000003</v>
      </c>
      <c r="I7" s="126">
        <f t="shared" si="0"/>
        <v>483283.42700000003</v>
      </c>
      <c r="J7" s="126">
        <f t="shared" si="0"/>
        <v>486105.42700000003</v>
      </c>
      <c r="K7" s="126">
        <f t="shared" si="0"/>
        <v>486238.42700000003</v>
      </c>
      <c r="L7" s="126">
        <f t="shared" si="0"/>
        <v>498406.42700000003</v>
      </c>
      <c r="M7" s="126">
        <f t="shared" si="0"/>
        <v>506681.42700000003</v>
      </c>
      <c r="N7" s="126">
        <f t="shared" si="0"/>
        <v>546704.42700000003</v>
      </c>
      <c r="O7" s="126">
        <f t="shared" si="0"/>
        <v>544563.42700000003</v>
      </c>
      <c r="P7" s="126">
        <f t="shared" si="0"/>
        <v>549315.42700000003</v>
      </c>
      <c r="Q7" s="126">
        <f t="shared" si="0"/>
        <v>555332.42700000003</v>
      </c>
      <c r="R7" s="126">
        <f t="shared" si="0"/>
        <v>591737.81599999999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 t="shared" ref="G9:L9" si="1">+G11+G12+1</f>
        <v>23143.427</v>
      </c>
      <c r="H9" s="13">
        <f t="shared" si="1"/>
        <v>18140.427</v>
      </c>
      <c r="I9" s="13">
        <f t="shared" si="1"/>
        <v>12126.427</v>
      </c>
      <c r="J9" s="13">
        <f t="shared" si="1"/>
        <v>12081.427</v>
      </c>
      <c r="K9" s="13">
        <f t="shared" si="1"/>
        <v>12039.427</v>
      </c>
      <c r="L9" s="13">
        <f t="shared" si="1"/>
        <v>12034.427</v>
      </c>
      <c r="M9" s="13">
        <f>+M11+M12+1</f>
        <v>12055.427</v>
      </c>
      <c r="N9" s="13">
        <f>+N11+N12</f>
        <v>17056.427</v>
      </c>
      <c r="O9" s="13">
        <f>+O11+O12</f>
        <v>19069.427</v>
      </c>
      <c r="P9" s="13">
        <f>+P11+P12</f>
        <v>19086.427</v>
      </c>
      <c r="Q9" s="13">
        <f>+Q11+Q12+1</f>
        <v>19092.427</v>
      </c>
      <c r="R9" s="13">
        <f>+R11+R12</f>
        <v>21064.815999999999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22959</v>
      </c>
      <c r="H11" s="15">
        <v>17956</v>
      </c>
      <c r="I11" s="15">
        <v>11942</v>
      </c>
      <c r="J11" s="15">
        <v>11897</v>
      </c>
      <c r="K11" s="15">
        <v>11855</v>
      </c>
      <c r="L11" s="15">
        <v>11850</v>
      </c>
      <c r="M11" s="15">
        <v>11871</v>
      </c>
      <c r="N11" s="15">
        <v>16873</v>
      </c>
      <c r="O11" s="15">
        <v>18886</v>
      </c>
      <c r="P11" s="15">
        <v>18903</v>
      </c>
      <c r="Q11" s="15">
        <v>18908</v>
      </c>
      <c r="R11" s="15">
        <v>20881.388999999999</v>
      </c>
    </row>
    <row r="12" spans="1:18">
      <c r="B12" s="2" t="s">
        <v>135</v>
      </c>
      <c r="G12" s="14">
        <f t="shared" ref="G12:R12" si="2">+SUM(G13:G14)</f>
        <v>183.42699999999999</v>
      </c>
      <c r="H12" s="14">
        <f t="shared" si="2"/>
        <v>183.42699999999999</v>
      </c>
      <c r="I12" s="14">
        <f t="shared" si="2"/>
        <v>183.42699999999999</v>
      </c>
      <c r="J12" s="14">
        <f t="shared" si="2"/>
        <v>183.42699999999999</v>
      </c>
      <c r="K12" s="14">
        <f t="shared" si="2"/>
        <v>183.42699999999999</v>
      </c>
      <c r="L12" s="14">
        <f t="shared" si="2"/>
        <v>183.42699999999999</v>
      </c>
      <c r="M12" s="14">
        <f t="shared" si="2"/>
        <v>183.42699999999999</v>
      </c>
      <c r="N12" s="14">
        <f t="shared" si="2"/>
        <v>183.42699999999999</v>
      </c>
      <c r="O12" s="14">
        <f t="shared" si="2"/>
        <v>183.42699999999999</v>
      </c>
      <c r="P12" s="14">
        <f t="shared" si="2"/>
        <v>183.42699999999999</v>
      </c>
      <c r="Q12" s="14">
        <f t="shared" si="2"/>
        <v>183.42699999999999</v>
      </c>
      <c r="R12" s="14">
        <f t="shared" si="2"/>
        <v>183.42699999999999</v>
      </c>
    </row>
    <row r="13" spans="1:18">
      <c r="C13" s="2" t="s">
        <v>13</v>
      </c>
      <c r="G13" s="15">
        <v>36.826000000000001</v>
      </c>
      <c r="H13" s="15">
        <v>36.826000000000001</v>
      </c>
      <c r="I13" s="15">
        <v>36.826000000000001</v>
      </c>
      <c r="J13" s="15">
        <v>36.826000000000001</v>
      </c>
      <c r="K13" s="15">
        <v>36.826000000000001</v>
      </c>
      <c r="L13" s="15">
        <v>36.826000000000001</v>
      </c>
      <c r="M13" s="15">
        <v>36.826000000000001</v>
      </c>
      <c r="N13" s="15">
        <v>36.826000000000001</v>
      </c>
      <c r="O13" s="15">
        <v>36.826000000000001</v>
      </c>
      <c r="P13" s="15">
        <v>36.826000000000001</v>
      </c>
      <c r="Q13" s="15">
        <v>36.826000000000001</v>
      </c>
      <c r="R13" s="15">
        <v>36.826000000000001</v>
      </c>
    </row>
    <row r="14" spans="1:18">
      <c r="C14" s="2" t="s">
        <v>15</v>
      </c>
      <c r="G14" s="15">
        <v>146.601</v>
      </c>
      <c r="H14" s="15">
        <v>146.601</v>
      </c>
      <c r="I14" s="15">
        <v>146.601</v>
      </c>
      <c r="J14" s="15">
        <v>146.601</v>
      </c>
      <c r="K14" s="15">
        <v>146.601</v>
      </c>
      <c r="L14" s="15">
        <v>146.601</v>
      </c>
      <c r="M14" s="15">
        <v>146.601</v>
      </c>
      <c r="N14" s="15">
        <v>146.601</v>
      </c>
      <c r="O14" s="15">
        <v>146.601</v>
      </c>
      <c r="P14" s="15">
        <v>146.601</v>
      </c>
      <c r="Q14" s="15">
        <v>146.601</v>
      </c>
      <c r="R14" s="15">
        <v>146.601</v>
      </c>
    </row>
    <row r="15" spans="1:18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" t="s">
        <v>136</v>
      </c>
      <c r="B16" s="1"/>
      <c r="C16" s="1"/>
      <c r="D16" s="1"/>
      <c r="E16" s="1"/>
      <c r="F16" s="1"/>
      <c r="G16" s="13">
        <f t="shared" ref="G16:R16" si="3">+G18+G19</f>
        <v>471403</v>
      </c>
      <c r="H16" s="13">
        <f t="shared" si="3"/>
        <v>470368</v>
      </c>
      <c r="I16" s="13">
        <f t="shared" si="3"/>
        <v>471157</v>
      </c>
      <c r="J16" s="13">
        <f t="shared" si="3"/>
        <v>474024</v>
      </c>
      <c r="K16" s="13">
        <f t="shared" si="3"/>
        <v>474199</v>
      </c>
      <c r="L16" s="13">
        <f t="shared" si="3"/>
        <v>486372</v>
      </c>
      <c r="M16" s="13">
        <f t="shared" si="3"/>
        <v>494626</v>
      </c>
      <c r="N16" s="13">
        <f t="shared" si="3"/>
        <v>529648</v>
      </c>
      <c r="O16" s="13">
        <f t="shared" si="3"/>
        <v>525494</v>
      </c>
      <c r="P16" s="13">
        <f t="shared" si="3"/>
        <v>530229</v>
      </c>
      <c r="Q16" s="13">
        <f t="shared" si="3"/>
        <v>536240</v>
      </c>
      <c r="R16" s="13">
        <f t="shared" si="3"/>
        <v>570673</v>
      </c>
    </row>
    <row r="17" spans="1:18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B18" s="2" t="s">
        <v>134</v>
      </c>
      <c r="G18" s="15">
        <v>456174</v>
      </c>
      <c r="H18" s="15">
        <v>455157</v>
      </c>
      <c r="I18" s="15">
        <v>455910</v>
      </c>
      <c r="J18" s="15">
        <v>458580</v>
      </c>
      <c r="K18" s="15">
        <v>458611</v>
      </c>
      <c r="L18" s="15">
        <v>470239</v>
      </c>
      <c r="M18" s="15">
        <v>479501</v>
      </c>
      <c r="N18" s="15">
        <v>514204</v>
      </c>
      <c r="O18" s="15">
        <v>510131</v>
      </c>
      <c r="P18" s="15">
        <v>514693</v>
      </c>
      <c r="Q18" s="15">
        <v>520503</v>
      </c>
      <c r="R18" s="15">
        <v>554852</v>
      </c>
    </row>
    <row r="19" spans="1:18">
      <c r="B19" s="2" t="s">
        <v>135</v>
      </c>
      <c r="G19" s="14">
        <f t="shared" ref="G19:L19" si="4">+SUM(G20:G23)</f>
        <v>15229</v>
      </c>
      <c r="H19" s="14">
        <f t="shared" si="4"/>
        <v>15211</v>
      </c>
      <c r="I19" s="14">
        <f t="shared" si="4"/>
        <v>15247</v>
      </c>
      <c r="J19" s="14">
        <f t="shared" si="4"/>
        <v>15444</v>
      </c>
      <c r="K19" s="14">
        <f t="shared" si="4"/>
        <v>15588</v>
      </c>
      <c r="L19" s="14">
        <f t="shared" si="4"/>
        <v>16133</v>
      </c>
      <c r="M19" s="14">
        <f>+SUM(M20:M23)+1</f>
        <v>15125</v>
      </c>
      <c r="N19" s="14">
        <f>+SUM(N20:N23)</f>
        <v>15444</v>
      </c>
      <c r="O19" s="14">
        <f>+SUM(O20:O23)</f>
        <v>15363</v>
      </c>
      <c r="P19" s="14">
        <f>+SUM(P20:P23)</f>
        <v>15536</v>
      </c>
      <c r="Q19" s="14">
        <f>+SUM(Q20:Q23)</f>
        <v>15737</v>
      </c>
      <c r="R19" s="14">
        <f>+SUM(R20:R23)</f>
        <v>15821</v>
      </c>
    </row>
    <row r="20" spans="1:18">
      <c r="C20" s="2" t="s">
        <v>12</v>
      </c>
      <c r="G20" s="15">
        <v>6160</v>
      </c>
      <c r="H20" s="15">
        <v>6167</v>
      </c>
      <c r="I20" s="15">
        <v>6154</v>
      </c>
      <c r="J20" s="15">
        <v>6141</v>
      </c>
      <c r="K20" s="15">
        <v>6097</v>
      </c>
      <c r="L20" s="15">
        <v>6213</v>
      </c>
      <c r="M20" s="15">
        <v>6115</v>
      </c>
      <c r="N20" s="15">
        <v>6212</v>
      </c>
      <c r="O20" s="15">
        <v>6248</v>
      </c>
      <c r="P20" s="15">
        <v>6325</v>
      </c>
      <c r="Q20" s="15">
        <v>6387</v>
      </c>
      <c r="R20" s="15">
        <v>6349</v>
      </c>
    </row>
    <row r="21" spans="1:18">
      <c r="C21" s="2" t="s">
        <v>13</v>
      </c>
      <c r="G21" s="15">
        <v>8624</v>
      </c>
      <c r="H21" s="15">
        <v>8599</v>
      </c>
      <c r="I21" s="15">
        <v>8647</v>
      </c>
      <c r="J21" s="15">
        <v>8856</v>
      </c>
      <c r="K21" s="15">
        <v>9043</v>
      </c>
      <c r="L21" s="15">
        <v>9459</v>
      </c>
      <c r="M21" s="15">
        <v>8586</v>
      </c>
      <c r="N21" s="15">
        <v>8801</v>
      </c>
      <c r="O21" s="15">
        <v>8682</v>
      </c>
      <c r="P21" s="15">
        <v>8772</v>
      </c>
      <c r="Q21" s="15">
        <v>8906</v>
      </c>
      <c r="R21" s="15">
        <v>9027</v>
      </c>
    </row>
    <row r="22" spans="1:18">
      <c r="C22" s="2" t="s">
        <v>21</v>
      </c>
      <c r="G22" s="15">
        <v>257</v>
      </c>
      <c r="H22" s="15">
        <v>257</v>
      </c>
      <c r="I22" s="15">
        <v>256</v>
      </c>
      <c r="J22" s="15">
        <v>253</v>
      </c>
      <c r="K22" s="15">
        <v>250</v>
      </c>
      <c r="L22" s="15">
        <v>251</v>
      </c>
      <c r="M22" s="15">
        <v>233</v>
      </c>
      <c r="N22" s="15">
        <v>237</v>
      </c>
      <c r="O22" s="15">
        <v>239</v>
      </c>
      <c r="P22" s="15">
        <v>243</v>
      </c>
      <c r="Q22" s="15">
        <v>245</v>
      </c>
      <c r="R22" s="15">
        <v>240</v>
      </c>
    </row>
    <row r="23" spans="1:18">
      <c r="C23" s="2" t="s">
        <v>15</v>
      </c>
      <c r="G23" s="15">
        <v>188</v>
      </c>
      <c r="H23" s="15">
        <v>188</v>
      </c>
      <c r="I23" s="15">
        <v>190</v>
      </c>
      <c r="J23" s="15">
        <v>194</v>
      </c>
      <c r="K23" s="15">
        <v>198</v>
      </c>
      <c r="L23" s="15">
        <v>210</v>
      </c>
      <c r="M23" s="15">
        <v>190</v>
      </c>
      <c r="N23" s="15">
        <v>194</v>
      </c>
      <c r="O23" s="15">
        <v>194</v>
      </c>
      <c r="P23" s="15">
        <v>196</v>
      </c>
      <c r="Q23" s="15">
        <v>199</v>
      </c>
      <c r="R23" s="15">
        <v>205</v>
      </c>
    </row>
    <row r="24" spans="1:18">
      <c r="G24" s="15"/>
    </row>
    <row r="25" spans="1:18">
      <c r="A25" s="9"/>
      <c r="B25" s="9"/>
      <c r="C25" s="9"/>
      <c r="D25" s="9"/>
      <c r="E25" s="9"/>
      <c r="F25" s="9"/>
    </row>
    <row r="26" spans="1:18">
      <c r="A26" s="2" t="s">
        <v>80</v>
      </c>
    </row>
    <row r="27" spans="1:18">
      <c r="A27" s="1"/>
    </row>
    <row r="28" spans="1:18">
      <c r="A28" s="1"/>
    </row>
    <row r="29" spans="1:18">
      <c r="A29" s="79"/>
      <c r="B29" s="79"/>
      <c r="C29" s="79"/>
      <c r="D29" s="79"/>
      <c r="E29" s="79"/>
      <c r="F29" s="79"/>
      <c r="G29" s="79"/>
    </row>
    <row r="30" spans="1:18">
      <c r="A30" s="11" t="s">
        <v>81</v>
      </c>
    </row>
    <row r="31" spans="1:18">
      <c r="A31" s="11" t="s">
        <v>68</v>
      </c>
    </row>
    <row r="32" spans="1:18">
      <c r="A32" s="11" t="s">
        <v>147</v>
      </c>
      <c r="F32" s="11"/>
    </row>
    <row r="33" spans="1:7">
      <c r="A33" s="48" t="s">
        <v>148</v>
      </c>
    </row>
    <row r="34" spans="1:7">
      <c r="F34" s="11"/>
    </row>
    <row r="35" spans="1:7">
      <c r="A35" s="11" t="s">
        <v>35</v>
      </c>
      <c r="F35" s="11"/>
    </row>
    <row r="36" spans="1:7">
      <c r="F36" s="11"/>
    </row>
    <row r="43" spans="1:7">
      <c r="G43" s="79"/>
    </row>
    <row r="44" spans="1:7">
      <c r="G44" s="11"/>
    </row>
    <row r="45" spans="1:7">
      <c r="G45" s="11"/>
    </row>
    <row r="46" spans="1:7">
      <c r="G46" s="11"/>
    </row>
    <row r="47" spans="1:7">
      <c r="G47" s="15"/>
    </row>
  </sheetData>
  <mergeCells count="1">
    <mergeCell ref="A5:F5"/>
  </mergeCells>
  <pageMargins left="0.74803149606299213" right="0" top="0.98425196850393704" bottom="0" header="0" footer="0"/>
  <pageSetup paperSize="9" scale="74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3">
    <pageSetUpPr fitToPage="1"/>
  </sheetPr>
  <dimension ref="A1:X57"/>
  <sheetViews>
    <sheetView zoomScaleNormal="100" workbookViewId="0">
      <selection activeCell="P30" sqref="P30"/>
    </sheetView>
  </sheetViews>
  <sheetFormatPr defaultRowHeight="16.5"/>
  <cols>
    <col min="1" max="1" width="2" style="2" customWidth="1"/>
    <col min="2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9.140625" style="2" customWidth="1"/>
    <col min="7" max="7" width="10.85546875" style="15" hidden="1" customWidth="1"/>
    <col min="8" max="8" width="4.140625" style="15" hidden="1" customWidth="1"/>
    <col min="9" max="9" width="2.5703125" style="15" hidden="1" customWidth="1"/>
    <col min="10" max="10" width="4.140625" style="15" hidden="1" customWidth="1"/>
    <col min="11" max="11" width="4.85546875" style="15" hidden="1" customWidth="1"/>
    <col min="12" max="12" width="6" style="15" hidden="1" customWidth="1"/>
    <col min="13" max="24" width="10.140625" style="2" bestFit="1" customWidth="1"/>
    <col min="25" max="256" width="9.140625" style="2"/>
    <col min="257" max="257" width="2" style="2" customWidth="1"/>
    <col min="258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9.140625" style="2" customWidth="1"/>
    <col min="263" max="268" width="0" style="2" hidden="1" customWidth="1"/>
    <col min="269" max="280" width="8.28515625" style="2" customWidth="1"/>
    <col min="281" max="512" width="9.140625" style="2"/>
    <col min="513" max="513" width="2" style="2" customWidth="1"/>
    <col min="514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9.140625" style="2" customWidth="1"/>
    <col min="519" max="524" width="0" style="2" hidden="1" customWidth="1"/>
    <col min="525" max="536" width="8.28515625" style="2" customWidth="1"/>
    <col min="537" max="768" width="9.140625" style="2"/>
    <col min="769" max="769" width="2" style="2" customWidth="1"/>
    <col min="770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9.140625" style="2" customWidth="1"/>
    <col min="775" max="780" width="0" style="2" hidden="1" customWidth="1"/>
    <col min="781" max="792" width="8.28515625" style="2" customWidth="1"/>
    <col min="793" max="1024" width="9.140625" style="2"/>
    <col min="1025" max="1025" width="2" style="2" customWidth="1"/>
    <col min="1026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9.140625" style="2" customWidth="1"/>
    <col min="1031" max="1036" width="0" style="2" hidden="1" customWidth="1"/>
    <col min="1037" max="1048" width="8.28515625" style="2" customWidth="1"/>
    <col min="1049" max="1280" width="9.140625" style="2"/>
    <col min="1281" max="1281" width="2" style="2" customWidth="1"/>
    <col min="1282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9.140625" style="2" customWidth="1"/>
    <col min="1287" max="1292" width="0" style="2" hidden="1" customWidth="1"/>
    <col min="1293" max="1304" width="8.28515625" style="2" customWidth="1"/>
    <col min="1305" max="1536" width="9.140625" style="2"/>
    <col min="1537" max="1537" width="2" style="2" customWidth="1"/>
    <col min="1538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9.140625" style="2" customWidth="1"/>
    <col min="1543" max="1548" width="0" style="2" hidden="1" customWidth="1"/>
    <col min="1549" max="1560" width="8.28515625" style="2" customWidth="1"/>
    <col min="1561" max="1792" width="9.140625" style="2"/>
    <col min="1793" max="1793" width="2" style="2" customWidth="1"/>
    <col min="1794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9.140625" style="2" customWidth="1"/>
    <col min="1799" max="1804" width="0" style="2" hidden="1" customWidth="1"/>
    <col min="1805" max="1816" width="8.28515625" style="2" customWidth="1"/>
    <col min="1817" max="2048" width="9.140625" style="2"/>
    <col min="2049" max="2049" width="2" style="2" customWidth="1"/>
    <col min="2050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9.140625" style="2" customWidth="1"/>
    <col min="2055" max="2060" width="0" style="2" hidden="1" customWidth="1"/>
    <col min="2061" max="2072" width="8.28515625" style="2" customWidth="1"/>
    <col min="2073" max="2304" width="9.140625" style="2"/>
    <col min="2305" max="2305" width="2" style="2" customWidth="1"/>
    <col min="2306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9.140625" style="2" customWidth="1"/>
    <col min="2311" max="2316" width="0" style="2" hidden="1" customWidth="1"/>
    <col min="2317" max="2328" width="8.28515625" style="2" customWidth="1"/>
    <col min="2329" max="2560" width="9.140625" style="2"/>
    <col min="2561" max="2561" width="2" style="2" customWidth="1"/>
    <col min="2562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9.140625" style="2" customWidth="1"/>
    <col min="2567" max="2572" width="0" style="2" hidden="1" customWidth="1"/>
    <col min="2573" max="2584" width="8.28515625" style="2" customWidth="1"/>
    <col min="2585" max="2816" width="9.140625" style="2"/>
    <col min="2817" max="2817" width="2" style="2" customWidth="1"/>
    <col min="2818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9.140625" style="2" customWidth="1"/>
    <col min="2823" max="2828" width="0" style="2" hidden="1" customWidth="1"/>
    <col min="2829" max="2840" width="8.28515625" style="2" customWidth="1"/>
    <col min="2841" max="3072" width="9.140625" style="2"/>
    <col min="3073" max="3073" width="2" style="2" customWidth="1"/>
    <col min="3074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9.140625" style="2" customWidth="1"/>
    <col min="3079" max="3084" width="0" style="2" hidden="1" customWidth="1"/>
    <col min="3085" max="3096" width="8.28515625" style="2" customWidth="1"/>
    <col min="3097" max="3328" width="9.140625" style="2"/>
    <col min="3329" max="3329" width="2" style="2" customWidth="1"/>
    <col min="3330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9.140625" style="2" customWidth="1"/>
    <col min="3335" max="3340" width="0" style="2" hidden="1" customWidth="1"/>
    <col min="3341" max="3352" width="8.28515625" style="2" customWidth="1"/>
    <col min="3353" max="3584" width="9.140625" style="2"/>
    <col min="3585" max="3585" width="2" style="2" customWidth="1"/>
    <col min="3586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9.140625" style="2" customWidth="1"/>
    <col min="3591" max="3596" width="0" style="2" hidden="1" customWidth="1"/>
    <col min="3597" max="3608" width="8.28515625" style="2" customWidth="1"/>
    <col min="3609" max="3840" width="9.140625" style="2"/>
    <col min="3841" max="3841" width="2" style="2" customWidth="1"/>
    <col min="3842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9.140625" style="2" customWidth="1"/>
    <col min="3847" max="3852" width="0" style="2" hidden="1" customWidth="1"/>
    <col min="3853" max="3864" width="8.28515625" style="2" customWidth="1"/>
    <col min="3865" max="4096" width="9.140625" style="2"/>
    <col min="4097" max="4097" width="2" style="2" customWidth="1"/>
    <col min="4098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9.140625" style="2" customWidth="1"/>
    <col min="4103" max="4108" width="0" style="2" hidden="1" customWidth="1"/>
    <col min="4109" max="4120" width="8.28515625" style="2" customWidth="1"/>
    <col min="4121" max="4352" width="9.140625" style="2"/>
    <col min="4353" max="4353" width="2" style="2" customWidth="1"/>
    <col min="4354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9.140625" style="2" customWidth="1"/>
    <col min="4359" max="4364" width="0" style="2" hidden="1" customWidth="1"/>
    <col min="4365" max="4376" width="8.28515625" style="2" customWidth="1"/>
    <col min="4377" max="4608" width="9.140625" style="2"/>
    <col min="4609" max="4609" width="2" style="2" customWidth="1"/>
    <col min="4610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9.140625" style="2" customWidth="1"/>
    <col min="4615" max="4620" width="0" style="2" hidden="1" customWidth="1"/>
    <col min="4621" max="4632" width="8.28515625" style="2" customWidth="1"/>
    <col min="4633" max="4864" width="9.140625" style="2"/>
    <col min="4865" max="4865" width="2" style="2" customWidth="1"/>
    <col min="4866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9.140625" style="2" customWidth="1"/>
    <col min="4871" max="4876" width="0" style="2" hidden="1" customWidth="1"/>
    <col min="4877" max="4888" width="8.28515625" style="2" customWidth="1"/>
    <col min="4889" max="5120" width="9.140625" style="2"/>
    <col min="5121" max="5121" width="2" style="2" customWidth="1"/>
    <col min="5122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9.140625" style="2" customWidth="1"/>
    <col min="5127" max="5132" width="0" style="2" hidden="1" customWidth="1"/>
    <col min="5133" max="5144" width="8.28515625" style="2" customWidth="1"/>
    <col min="5145" max="5376" width="9.140625" style="2"/>
    <col min="5377" max="5377" width="2" style="2" customWidth="1"/>
    <col min="5378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9.140625" style="2" customWidth="1"/>
    <col min="5383" max="5388" width="0" style="2" hidden="1" customWidth="1"/>
    <col min="5389" max="5400" width="8.28515625" style="2" customWidth="1"/>
    <col min="5401" max="5632" width="9.140625" style="2"/>
    <col min="5633" max="5633" width="2" style="2" customWidth="1"/>
    <col min="5634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9.140625" style="2" customWidth="1"/>
    <col min="5639" max="5644" width="0" style="2" hidden="1" customWidth="1"/>
    <col min="5645" max="5656" width="8.28515625" style="2" customWidth="1"/>
    <col min="5657" max="5888" width="9.140625" style="2"/>
    <col min="5889" max="5889" width="2" style="2" customWidth="1"/>
    <col min="5890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9.140625" style="2" customWidth="1"/>
    <col min="5895" max="5900" width="0" style="2" hidden="1" customWidth="1"/>
    <col min="5901" max="5912" width="8.28515625" style="2" customWidth="1"/>
    <col min="5913" max="6144" width="9.140625" style="2"/>
    <col min="6145" max="6145" width="2" style="2" customWidth="1"/>
    <col min="6146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9.140625" style="2" customWidth="1"/>
    <col min="6151" max="6156" width="0" style="2" hidden="1" customWidth="1"/>
    <col min="6157" max="6168" width="8.28515625" style="2" customWidth="1"/>
    <col min="6169" max="6400" width="9.140625" style="2"/>
    <col min="6401" max="6401" width="2" style="2" customWidth="1"/>
    <col min="6402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9.140625" style="2" customWidth="1"/>
    <col min="6407" max="6412" width="0" style="2" hidden="1" customWidth="1"/>
    <col min="6413" max="6424" width="8.28515625" style="2" customWidth="1"/>
    <col min="6425" max="6656" width="9.140625" style="2"/>
    <col min="6657" max="6657" width="2" style="2" customWidth="1"/>
    <col min="6658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9.140625" style="2" customWidth="1"/>
    <col min="6663" max="6668" width="0" style="2" hidden="1" customWidth="1"/>
    <col min="6669" max="6680" width="8.28515625" style="2" customWidth="1"/>
    <col min="6681" max="6912" width="9.140625" style="2"/>
    <col min="6913" max="6913" width="2" style="2" customWidth="1"/>
    <col min="6914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9.140625" style="2" customWidth="1"/>
    <col min="6919" max="6924" width="0" style="2" hidden="1" customWidth="1"/>
    <col min="6925" max="6936" width="8.28515625" style="2" customWidth="1"/>
    <col min="6937" max="7168" width="9.140625" style="2"/>
    <col min="7169" max="7169" width="2" style="2" customWidth="1"/>
    <col min="7170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9.140625" style="2" customWidth="1"/>
    <col min="7175" max="7180" width="0" style="2" hidden="1" customWidth="1"/>
    <col min="7181" max="7192" width="8.28515625" style="2" customWidth="1"/>
    <col min="7193" max="7424" width="9.140625" style="2"/>
    <col min="7425" max="7425" width="2" style="2" customWidth="1"/>
    <col min="7426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9.140625" style="2" customWidth="1"/>
    <col min="7431" max="7436" width="0" style="2" hidden="1" customWidth="1"/>
    <col min="7437" max="7448" width="8.28515625" style="2" customWidth="1"/>
    <col min="7449" max="7680" width="9.140625" style="2"/>
    <col min="7681" max="7681" width="2" style="2" customWidth="1"/>
    <col min="7682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9.140625" style="2" customWidth="1"/>
    <col min="7687" max="7692" width="0" style="2" hidden="1" customWidth="1"/>
    <col min="7693" max="7704" width="8.28515625" style="2" customWidth="1"/>
    <col min="7705" max="7936" width="9.140625" style="2"/>
    <col min="7937" max="7937" width="2" style="2" customWidth="1"/>
    <col min="7938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9.140625" style="2" customWidth="1"/>
    <col min="7943" max="7948" width="0" style="2" hidden="1" customWidth="1"/>
    <col min="7949" max="7960" width="8.28515625" style="2" customWidth="1"/>
    <col min="7961" max="8192" width="9.140625" style="2"/>
    <col min="8193" max="8193" width="2" style="2" customWidth="1"/>
    <col min="8194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9.140625" style="2" customWidth="1"/>
    <col min="8199" max="8204" width="0" style="2" hidden="1" customWidth="1"/>
    <col min="8205" max="8216" width="8.28515625" style="2" customWidth="1"/>
    <col min="8217" max="8448" width="9.140625" style="2"/>
    <col min="8449" max="8449" width="2" style="2" customWidth="1"/>
    <col min="8450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9.140625" style="2" customWidth="1"/>
    <col min="8455" max="8460" width="0" style="2" hidden="1" customWidth="1"/>
    <col min="8461" max="8472" width="8.28515625" style="2" customWidth="1"/>
    <col min="8473" max="8704" width="9.140625" style="2"/>
    <col min="8705" max="8705" width="2" style="2" customWidth="1"/>
    <col min="8706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9.140625" style="2" customWidth="1"/>
    <col min="8711" max="8716" width="0" style="2" hidden="1" customWidth="1"/>
    <col min="8717" max="8728" width="8.28515625" style="2" customWidth="1"/>
    <col min="8729" max="8960" width="9.140625" style="2"/>
    <col min="8961" max="8961" width="2" style="2" customWidth="1"/>
    <col min="8962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9.140625" style="2" customWidth="1"/>
    <col min="8967" max="8972" width="0" style="2" hidden="1" customWidth="1"/>
    <col min="8973" max="8984" width="8.28515625" style="2" customWidth="1"/>
    <col min="8985" max="9216" width="9.140625" style="2"/>
    <col min="9217" max="9217" width="2" style="2" customWidth="1"/>
    <col min="9218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9.140625" style="2" customWidth="1"/>
    <col min="9223" max="9228" width="0" style="2" hidden="1" customWidth="1"/>
    <col min="9229" max="9240" width="8.28515625" style="2" customWidth="1"/>
    <col min="9241" max="9472" width="9.140625" style="2"/>
    <col min="9473" max="9473" width="2" style="2" customWidth="1"/>
    <col min="9474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9.140625" style="2" customWidth="1"/>
    <col min="9479" max="9484" width="0" style="2" hidden="1" customWidth="1"/>
    <col min="9485" max="9496" width="8.28515625" style="2" customWidth="1"/>
    <col min="9497" max="9728" width="9.140625" style="2"/>
    <col min="9729" max="9729" width="2" style="2" customWidth="1"/>
    <col min="9730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9.140625" style="2" customWidth="1"/>
    <col min="9735" max="9740" width="0" style="2" hidden="1" customWidth="1"/>
    <col min="9741" max="9752" width="8.28515625" style="2" customWidth="1"/>
    <col min="9753" max="9984" width="9.140625" style="2"/>
    <col min="9985" max="9985" width="2" style="2" customWidth="1"/>
    <col min="9986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9.140625" style="2" customWidth="1"/>
    <col min="9991" max="9996" width="0" style="2" hidden="1" customWidth="1"/>
    <col min="9997" max="10008" width="8.28515625" style="2" customWidth="1"/>
    <col min="10009" max="10240" width="9.140625" style="2"/>
    <col min="10241" max="10241" width="2" style="2" customWidth="1"/>
    <col min="10242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9.140625" style="2" customWidth="1"/>
    <col min="10247" max="10252" width="0" style="2" hidden="1" customWidth="1"/>
    <col min="10253" max="10264" width="8.28515625" style="2" customWidth="1"/>
    <col min="10265" max="10496" width="9.140625" style="2"/>
    <col min="10497" max="10497" width="2" style="2" customWidth="1"/>
    <col min="10498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9.140625" style="2" customWidth="1"/>
    <col min="10503" max="10508" width="0" style="2" hidden="1" customWidth="1"/>
    <col min="10509" max="10520" width="8.28515625" style="2" customWidth="1"/>
    <col min="10521" max="10752" width="9.140625" style="2"/>
    <col min="10753" max="10753" width="2" style="2" customWidth="1"/>
    <col min="10754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9.140625" style="2" customWidth="1"/>
    <col min="10759" max="10764" width="0" style="2" hidden="1" customWidth="1"/>
    <col min="10765" max="10776" width="8.28515625" style="2" customWidth="1"/>
    <col min="10777" max="11008" width="9.140625" style="2"/>
    <col min="11009" max="11009" width="2" style="2" customWidth="1"/>
    <col min="11010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9.140625" style="2" customWidth="1"/>
    <col min="11015" max="11020" width="0" style="2" hidden="1" customWidth="1"/>
    <col min="11021" max="11032" width="8.28515625" style="2" customWidth="1"/>
    <col min="11033" max="11264" width="9.140625" style="2"/>
    <col min="11265" max="11265" width="2" style="2" customWidth="1"/>
    <col min="11266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9.140625" style="2" customWidth="1"/>
    <col min="11271" max="11276" width="0" style="2" hidden="1" customWidth="1"/>
    <col min="11277" max="11288" width="8.28515625" style="2" customWidth="1"/>
    <col min="11289" max="11520" width="9.140625" style="2"/>
    <col min="11521" max="11521" width="2" style="2" customWidth="1"/>
    <col min="11522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9.140625" style="2" customWidth="1"/>
    <col min="11527" max="11532" width="0" style="2" hidden="1" customWidth="1"/>
    <col min="11533" max="11544" width="8.28515625" style="2" customWidth="1"/>
    <col min="11545" max="11776" width="9.140625" style="2"/>
    <col min="11777" max="11777" width="2" style="2" customWidth="1"/>
    <col min="11778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9.140625" style="2" customWidth="1"/>
    <col min="11783" max="11788" width="0" style="2" hidden="1" customWidth="1"/>
    <col min="11789" max="11800" width="8.28515625" style="2" customWidth="1"/>
    <col min="11801" max="12032" width="9.140625" style="2"/>
    <col min="12033" max="12033" width="2" style="2" customWidth="1"/>
    <col min="12034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9.140625" style="2" customWidth="1"/>
    <col min="12039" max="12044" width="0" style="2" hidden="1" customWidth="1"/>
    <col min="12045" max="12056" width="8.28515625" style="2" customWidth="1"/>
    <col min="12057" max="12288" width="9.140625" style="2"/>
    <col min="12289" max="12289" width="2" style="2" customWidth="1"/>
    <col min="12290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9.140625" style="2" customWidth="1"/>
    <col min="12295" max="12300" width="0" style="2" hidden="1" customWidth="1"/>
    <col min="12301" max="12312" width="8.28515625" style="2" customWidth="1"/>
    <col min="12313" max="12544" width="9.140625" style="2"/>
    <col min="12545" max="12545" width="2" style="2" customWidth="1"/>
    <col min="12546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9.140625" style="2" customWidth="1"/>
    <col min="12551" max="12556" width="0" style="2" hidden="1" customWidth="1"/>
    <col min="12557" max="12568" width="8.28515625" style="2" customWidth="1"/>
    <col min="12569" max="12800" width="9.140625" style="2"/>
    <col min="12801" max="12801" width="2" style="2" customWidth="1"/>
    <col min="12802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9.140625" style="2" customWidth="1"/>
    <col min="12807" max="12812" width="0" style="2" hidden="1" customWidth="1"/>
    <col min="12813" max="12824" width="8.28515625" style="2" customWidth="1"/>
    <col min="12825" max="13056" width="9.140625" style="2"/>
    <col min="13057" max="13057" width="2" style="2" customWidth="1"/>
    <col min="13058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9.140625" style="2" customWidth="1"/>
    <col min="13063" max="13068" width="0" style="2" hidden="1" customWidth="1"/>
    <col min="13069" max="13080" width="8.28515625" style="2" customWidth="1"/>
    <col min="13081" max="13312" width="9.140625" style="2"/>
    <col min="13313" max="13313" width="2" style="2" customWidth="1"/>
    <col min="13314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9.140625" style="2" customWidth="1"/>
    <col min="13319" max="13324" width="0" style="2" hidden="1" customWidth="1"/>
    <col min="13325" max="13336" width="8.28515625" style="2" customWidth="1"/>
    <col min="13337" max="13568" width="9.140625" style="2"/>
    <col min="13569" max="13569" width="2" style="2" customWidth="1"/>
    <col min="13570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9.140625" style="2" customWidth="1"/>
    <col min="13575" max="13580" width="0" style="2" hidden="1" customWidth="1"/>
    <col min="13581" max="13592" width="8.28515625" style="2" customWidth="1"/>
    <col min="13593" max="13824" width="9.140625" style="2"/>
    <col min="13825" max="13825" width="2" style="2" customWidth="1"/>
    <col min="13826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9.140625" style="2" customWidth="1"/>
    <col min="13831" max="13836" width="0" style="2" hidden="1" customWidth="1"/>
    <col min="13837" max="13848" width="8.28515625" style="2" customWidth="1"/>
    <col min="13849" max="14080" width="9.140625" style="2"/>
    <col min="14081" max="14081" width="2" style="2" customWidth="1"/>
    <col min="14082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9.140625" style="2" customWidth="1"/>
    <col min="14087" max="14092" width="0" style="2" hidden="1" customWidth="1"/>
    <col min="14093" max="14104" width="8.28515625" style="2" customWidth="1"/>
    <col min="14105" max="14336" width="9.140625" style="2"/>
    <col min="14337" max="14337" width="2" style="2" customWidth="1"/>
    <col min="14338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9.140625" style="2" customWidth="1"/>
    <col min="14343" max="14348" width="0" style="2" hidden="1" customWidth="1"/>
    <col min="14349" max="14360" width="8.28515625" style="2" customWidth="1"/>
    <col min="14361" max="14592" width="9.140625" style="2"/>
    <col min="14593" max="14593" width="2" style="2" customWidth="1"/>
    <col min="14594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9.140625" style="2" customWidth="1"/>
    <col min="14599" max="14604" width="0" style="2" hidden="1" customWidth="1"/>
    <col min="14605" max="14616" width="8.28515625" style="2" customWidth="1"/>
    <col min="14617" max="14848" width="9.140625" style="2"/>
    <col min="14849" max="14849" width="2" style="2" customWidth="1"/>
    <col min="14850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9.140625" style="2" customWidth="1"/>
    <col min="14855" max="14860" width="0" style="2" hidden="1" customWidth="1"/>
    <col min="14861" max="14872" width="8.28515625" style="2" customWidth="1"/>
    <col min="14873" max="15104" width="9.140625" style="2"/>
    <col min="15105" max="15105" width="2" style="2" customWidth="1"/>
    <col min="15106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9.140625" style="2" customWidth="1"/>
    <col min="15111" max="15116" width="0" style="2" hidden="1" customWidth="1"/>
    <col min="15117" max="15128" width="8.28515625" style="2" customWidth="1"/>
    <col min="15129" max="15360" width="9.140625" style="2"/>
    <col min="15361" max="15361" width="2" style="2" customWidth="1"/>
    <col min="15362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9.140625" style="2" customWidth="1"/>
    <col min="15367" max="15372" width="0" style="2" hidden="1" customWidth="1"/>
    <col min="15373" max="15384" width="8.28515625" style="2" customWidth="1"/>
    <col min="15385" max="15616" width="9.140625" style="2"/>
    <col min="15617" max="15617" width="2" style="2" customWidth="1"/>
    <col min="15618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9.140625" style="2" customWidth="1"/>
    <col min="15623" max="15628" width="0" style="2" hidden="1" customWidth="1"/>
    <col min="15629" max="15640" width="8.28515625" style="2" customWidth="1"/>
    <col min="15641" max="15872" width="9.140625" style="2"/>
    <col min="15873" max="15873" width="2" style="2" customWidth="1"/>
    <col min="15874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9.140625" style="2" customWidth="1"/>
    <col min="15879" max="15884" width="0" style="2" hidden="1" customWidth="1"/>
    <col min="15885" max="15896" width="8.28515625" style="2" customWidth="1"/>
    <col min="15897" max="16128" width="9.140625" style="2"/>
    <col min="16129" max="16129" width="2" style="2" customWidth="1"/>
    <col min="16130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9.140625" style="2" customWidth="1"/>
    <col min="16135" max="16140" width="0" style="2" hidden="1" customWidth="1"/>
    <col min="16141" max="16152" width="8.28515625" style="2" customWidth="1"/>
    <col min="16153" max="16384" width="9.140625" style="2"/>
  </cols>
  <sheetData>
    <row r="1" spans="1:24">
      <c r="A1" s="1" t="s">
        <v>25</v>
      </c>
    </row>
    <row r="2" spans="1:24">
      <c r="A2" s="1" t="s">
        <v>83</v>
      </c>
      <c r="F2" s="1" t="s">
        <v>35</v>
      </c>
    </row>
    <row r="3" spans="1:24">
      <c r="A3" s="2" t="s">
        <v>0</v>
      </c>
      <c r="M3" s="2" t="s">
        <v>35</v>
      </c>
    </row>
    <row r="4" spans="1:24" ht="12" customHeight="1"/>
    <row r="5" spans="1:24" ht="18" customHeight="1">
      <c r="A5" s="177" t="s">
        <v>1</v>
      </c>
      <c r="B5" s="178"/>
      <c r="C5" s="178"/>
      <c r="D5" s="178"/>
      <c r="E5" s="178"/>
      <c r="F5" s="178"/>
      <c r="G5" s="76" t="s">
        <v>28</v>
      </c>
      <c r="H5" s="76" t="s">
        <v>29</v>
      </c>
      <c r="I5" s="76" t="s">
        <v>39</v>
      </c>
      <c r="J5" s="76" t="s">
        <v>31</v>
      </c>
      <c r="K5" s="76" t="s">
        <v>32</v>
      </c>
      <c r="L5" s="76" t="s">
        <v>33</v>
      </c>
      <c r="M5" s="77" t="s">
        <v>5</v>
      </c>
      <c r="N5" s="77" t="s">
        <v>23</v>
      </c>
      <c r="O5" s="77" t="s">
        <v>24</v>
      </c>
      <c r="P5" s="77" t="s">
        <v>26</v>
      </c>
      <c r="Q5" s="77" t="s">
        <v>27</v>
      </c>
      <c r="R5" s="77" t="s">
        <v>36</v>
      </c>
      <c r="S5" s="77" t="s">
        <v>28</v>
      </c>
      <c r="T5" s="77" t="s">
        <v>29</v>
      </c>
      <c r="U5" s="77" t="s">
        <v>39</v>
      </c>
      <c r="V5" s="77" t="s">
        <v>31</v>
      </c>
      <c r="W5" s="77" t="s">
        <v>32</v>
      </c>
      <c r="X5" s="78" t="s">
        <v>33</v>
      </c>
    </row>
    <row r="6" spans="1:24" ht="9" customHeight="1"/>
    <row r="7" spans="1:24">
      <c r="A7" s="1" t="s">
        <v>17</v>
      </c>
      <c r="E7" s="1"/>
      <c r="G7" s="41">
        <v>0</v>
      </c>
      <c r="H7" s="41" t="e">
        <v>#REF!</v>
      </c>
      <c r="I7" s="41" t="e">
        <v>#REF!</v>
      </c>
      <c r="J7" s="41" t="e">
        <v>#REF!</v>
      </c>
      <c r="K7" s="41" t="e">
        <v>#REF!</v>
      </c>
      <c r="L7" s="41" t="e">
        <v>#REF!</v>
      </c>
      <c r="M7" s="41">
        <v>2186315</v>
      </c>
      <c r="N7" s="41">
        <v>2188062.3679999998</v>
      </c>
      <c r="O7" s="41">
        <v>2178854.307</v>
      </c>
      <c r="P7" s="41">
        <v>2210199</v>
      </c>
      <c r="Q7" s="41">
        <v>2239899</v>
      </c>
      <c r="R7" s="41">
        <v>2260274</v>
      </c>
      <c r="S7" s="41">
        <v>2296599</v>
      </c>
      <c r="T7" s="41">
        <v>2283878</v>
      </c>
      <c r="U7" s="41">
        <v>2321481</v>
      </c>
      <c r="V7" s="41">
        <v>2352744</v>
      </c>
      <c r="W7" s="41">
        <v>2376450</v>
      </c>
      <c r="X7" s="41">
        <v>2384917</v>
      </c>
    </row>
    <row r="8" spans="1:24" ht="6.75" customHeight="1"/>
    <row r="9" spans="1:24">
      <c r="A9" s="1"/>
      <c r="B9" s="1" t="s">
        <v>59</v>
      </c>
      <c r="C9" s="1"/>
      <c r="D9" s="1"/>
      <c r="E9" s="1"/>
      <c r="F9" s="1"/>
      <c r="G9" s="1"/>
      <c r="H9" s="13" t="e">
        <v>#REF!</v>
      </c>
      <c r="I9" s="13" t="e">
        <v>#REF!</v>
      </c>
      <c r="J9" s="13" t="e">
        <v>#REF!</v>
      </c>
      <c r="K9" s="13" t="e">
        <v>#REF!</v>
      </c>
      <c r="L9" s="13" t="e">
        <v>#REF!</v>
      </c>
      <c r="M9" s="13">
        <v>1103278</v>
      </c>
      <c r="N9" s="13">
        <v>1133735.368</v>
      </c>
      <c r="O9" s="13">
        <v>1122495.307</v>
      </c>
      <c r="P9" s="13">
        <v>1120349</v>
      </c>
      <c r="Q9" s="13">
        <v>1148823</v>
      </c>
      <c r="R9" s="13">
        <v>1141793</v>
      </c>
      <c r="S9" s="13">
        <v>1150891</v>
      </c>
      <c r="T9" s="13">
        <v>1164811</v>
      </c>
      <c r="U9" s="13">
        <v>1187184</v>
      </c>
      <c r="V9" s="13">
        <v>1224196</v>
      </c>
      <c r="W9" s="13">
        <v>1254821</v>
      </c>
      <c r="X9" s="13">
        <v>1247683</v>
      </c>
    </row>
    <row r="10" spans="1:24">
      <c r="C10" s="2" t="s">
        <v>9</v>
      </c>
      <c r="G10" s="14" t="e">
        <v>#REF!</v>
      </c>
      <c r="H10" s="14" t="e">
        <v>#REF!</v>
      </c>
      <c r="I10" s="14" t="e">
        <v>#REF!</v>
      </c>
      <c r="J10" s="14" t="e">
        <v>#REF!</v>
      </c>
      <c r="K10" s="14" t="e">
        <v>#REF!</v>
      </c>
      <c r="L10" s="14" t="e">
        <v>#REF!</v>
      </c>
      <c r="M10" s="14">
        <v>1084313</v>
      </c>
      <c r="N10" s="14">
        <v>1115191</v>
      </c>
      <c r="O10" s="14">
        <v>1103580</v>
      </c>
      <c r="P10" s="14">
        <v>1100912</v>
      </c>
      <c r="Q10" s="14">
        <v>1129487</v>
      </c>
      <c r="R10" s="14">
        <v>1124806</v>
      </c>
      <c r="S10" s="14">
        <v>1133623</v>
      </c>
      <c r="T10" s="14">
        <v>1148146</v>
      </c>
      <c r="U10" s="14">
        <v>1170337</v>
      </c>
      <c r="V10" s="14">
        <v>1207321</v>
      </c>
      <c r="W10" s="14">
        <v>1237932</v>
      </c>
      <c r="X10" s="14">
        <v>1233825</v>
      </c>
    </row>
    <row r="11" spans="1:24">
      <c r="D11" s="2" t="s">
        <v>88</v>
      </c>
      <c r="G11" s="14" t="e">
        <v>#REF!</v>
      </c>
      <c r="H11" s="14" t="e">
        <v>#REF!</v>
      </c>
      <c r="I11" s="14" t="e">
        <v>#REF!</v>
      </c>
      <c r="J11" s="14" t="e">
        <v>#REF!</v>
      </c>
      <c r="K11" s="14" t="e">
        <v>#REF!</v>
      </c>
      <c r="L11" s="14" t="e">
        <v>#REF!</v>
      </c>
      <c r="M11" s="15">
        <v>1068979</v>
      </c>
      <c r="N11" s="15">
        <v>1099860</v>
      </c>
      <c r="O11" s="15">
        <v>1088247</v>
      </c>
      <c r="P11" s="15">
        <v>1085582</v>
      </c>
      <c r="Q11" s="15">
        <v>1114158</v>
      </c>
      <c r="R11" s="15">
        <v>1109474</v>
      </c>
      <c r="S11" s="15">
        <v>1118289</v>
      </c>
      <c r="T11" s="15">
        <v>1132828</v>
      </c>
      <c r="U11" s="15">
        <v>1155018</v>
      </c>
      <c r="V11" s="15">
        <v>1192001</v>
      </c>
      <c r="W11" s="15">
        <v>1222612</v>
      </c>
      <c r="X11" s="15">
        <v>1218508</v>
      </c>
    </row>
    <row r="12" spans="1:24">
      <c r="D12" s="2" t="s">
        <v>2</v>
      </c>
      <c r="M12" s="15">
        <v>15334</v>
      </c>
      <c r="N12" s="15">
        <v>15331</v>
      </c>
      <c r="O12" s="15">
        <v>15333</v>
      </c>
      <c r="P12" s="15">
        <v>15330</v>
      </c>
      <c r="Q12" s="15">
        <v>15329</v>
      </c>
      <c r="R12" s="15">
        <v>15332</v>
      </c>
      <c r="S12" s="15">
        <v>15334</v>
      </c>
      <c r="T12" s="15">
        <v>15318</v>
      </c>
      <c r="U12" s="15">
        <v>15319</v>
      </c>
      <c r="V12" s="15">
        <v>15320</v>
      </c>
      <c r="W12" s="15">
        <v>15320</v>
      </c>
      <c r="X12" s="15">
        <v>15317</v>
      </c>
    </row>
    <row r="13" spans="1:24">
      <c r="D13" s="2" t="s">
        <v>3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</row>
    <row r="14" spans="1:24" ht="7.5" customHeight="1"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>
      <c r="C15" s="2" t="s">
        <v>60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18965</v>
      </c>
      <c r="N15" s="14">
        <v>18544.368000000002</v>
      </c>
      <c r="O15" s="14">
        <v>18915.307000000001</v>
      </c>
      <c r="P15" s="14">
        <v>19437</v>
      </c>
      <c r="Q15" s="14">
        <v>19336</v>
      </c>
      <c r="R15" s="14">
        <v>16987</v>
      </c>
      <c r="S15" s="14">
        <v>17268</v>
      </c>
      <c r="T15" s="14">
        <v>16665</v>
      </c>
      <c r="U15" s="14">
        <v>16847</v>
      </c>
      <c r="V15" s="14">
        <v>16875</v>
      </c>
      <c r="W15" s="14">
        <v>16889</v>
      </c>
      <c r="X15" s="14">
        <v>13858</v>
      </c>
    </row>
    <row r="16" spans="1:24">
      <c r="D16" s="2" t="s">
        <v>12</v>
      </c>
      <c r="M16" s="15">
        <v>5539</v>
      </c>
      <c r="N16" s="15">
        <v>5399</v>
      </c>
      <c r="O16" s="15">
        <v>5523</v>
      </c>
      <c r="P16" s="15">
        <v>5696</v>
      </c>
      <c r="Q16" s="15">
        <v>5663</v>
      </c>
      <c r="R16" s="15">
        <v>4882</v>
      </c>
      <c r="S16" s="15">
        <v>4975</v>
      </c>
      <c r="T16" s="15">
        <v>4776</v>
      </c>
      <c r="U16" s="15">
        <v>4835</v>
      </c>
      <c r="V16" s="15">
        <v>4845</v>
      </c>
      <c r="W16" s="15">
        <v>4849</v>
      </c>
      <c r="X16" s="15">
        <v>3842</v>
      </c>
    </row>
    <row r="17" spans="1:24">
      <c r="D17" s="2" t="s">
        <v>13</v>
      </c>
      <c r="M17" s="15">
        <v>13061</v>
      </c>
      <c r="N17" s="15">
        <v>12789</v>
      </c>
      <c r="O17" s="15">
        <v>13028</v>
      </c>
      <c r="P17" s="15">
        <v>13366</v>
      </c>
      <c r="Q17" s="15">
        <v>13300</v>
      </c>
      <c r="R17" s="15">
        <v>11783</v>
      </c>
      <c r="S17" s="15">
        <v>11964</v>
      </c>
      <c r="T17" s="15">
        <v>11574</v>
      </c>
      <c r="U17" s="15">
        <v>11692</v>
      </c>
      <c r="V17" s="15">
        <v>11710</v>
      </c>
      <c r="W17" s="15">
        <v>11719</v>
      </c>
      <c r="X17" s="15">
        <v>9761</v>
      </c>
    </row>
    <row r="18" spans="1:24">
      <c r="D18" s="2" t="s">
        <v>14</v>
      </c>
      <c r="M18" s="15">
        <v>359</v>
      </c>
      <c r="N18" s="15">
        <v>350.06099999999998</v>
      </c>
      <c r="O18" s="15">
        <v>358</v>
      </c>
      <c r="P18" s="15">
        <v>369</v>
      </c>
      <c r="Q18" s="15">
        <v>367</v>
      </c>
      <c r="R18" s="15">
        <v>317</v>
      </c>
      <c r="S18" s="15">
        <v>323</v>
      </c>
      <c r="T18" s="15">
        <v>309</v>
      </c>
      <c r="U18" s="15">
        <v>314</v>
      </c>
      <c r="V18" s="15">
        <v>314</v>
      </c>
      <c r="W18" s="15">
        <v>314</v>
      </c>
      <c r="X18" s="15">
        <v>249</v>
      </c>
    </row>
    <row r="19" spans="1:24">
      <c r="D19" s="2" t="s">
        <v>15</v>
      </c>
      <c r="M19" s="15">
        <v>6</v>
      </c>
      <c r="N19" s="15">
        <v>6.3070000000000004</v>
      </c>
      <c r="O19" s="15">
        <v>6.3070000000000004</v>
      </c>
      <c r="P19" s="15">
        <v>6</v>
      </c>
      <c r="Q19" s="15">
        <v>6</v>
      </c>
      <c r="R19" s="15">
        <v>6</v>
      </c>
      <c r="S19" s="15">
        <v>6</v>
      </c>
      <c r="T19" s="15">
        <v>6</v>
      </c>
      <c r="U19" s="15">
        <v>6</v>
      </c>
      <c r="V19" s="15">
        <v>6</v>
      </c>
      <c r="W19" s="15">
        <v>6</v>
      </c>
      <c r="X19" s="15">
        <v>6</v>
      </c>
    </row>
    <row r="20" spans="1:24" ht="7.5" customHeight="1"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>
      <c r="A21" s="1"/>
      <c r="B21" s="1" t="s">
        <v>125</v>
      </c>
      <c r="C21" s="1"/>
      <c r="D21" s="1"/>
      <c r="E21" s="1"/>
      <c r="F21" s="1"/>
      <c r="G21" s="1"/>
      <c r="H21" s="13" t="e">
        <v>#REF!</v>
      </c>
      <c r="I21" s="13" t="e">
        <v>#REF!</v>
      </c>
      <c r="J21" s="13" t="e">
        <v>#REF!</v>
      </c>
      <c r="K21" s="13" t="e">
        <v>#REF!</v>
      </c>
      <c r="L21" s="13" t="e">
        <v>#REF!</v>
      </c>
      <c r="M21" s="13">
        <v>1083037</v>
      </c>
      <c r="N21" s="13">
        <v>1054327</v>
      </c>
      <c r="O21" s="13">
        <v>1056359</v>
      </c>
      <c r="P21" s="13">
        <v>1089850</v>
      </c>
      <c r="Q21" s="13">
        <v>1091076</v>
      </c>
      <c r="R21" s="13">
        <v>1118481</v>
      </c>
      <c r="S21" s="13">
        <v>1145708</v>
      </c>
      <c r="T21" s="13">
        <v>1119067</v>
      </c>
      <c r="U21" s="13">
        <v>1134297</v>
      </c>
      <c r="V21" s="13">
        <v>1128548</v>
      </c>
      <c r="W21" s="13">
        <v>1121629</v>
      </c>
      <c r="X21" s="13">
        <v>1137234</v>
      </c>
    </row>
    <row r="22" spans="1:24">
      <c r="C22" s="2" t="s">
        <v>9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637601</v>
      </c>
      <c r="N22" s="14">
        <v>620355</v>
      </c>
      <c r="O22" s="14">
        <v>615697</v>
      </c>
      <c r="P22" s="14">
        <v>635322</v>
      </c>
      <c r="Q22" s="14">
        <v>638612</v>
      </c>
      <c r="R22" s="14">
        <v>644208</v>
      </c>
      <c r="S22" s="14">
        <v>662980</v>
      </c>
      <c r="T22" s="14">
        <v>653077</v>
      </c>
      <c r="U22" s="14">
        <v>662509</v>
      </c>
      <c r="V22" s="14">
        <v>656907</v>
      </c>
      <c r="W22" s="14">
        <v>650241</v>
      </c>
      <c r="X22" s="14">
        <v>626958</v>
      </c>
    </row>
    <row r="23" spans="1:24">
      <c r="D23" s="2" t="s">
        <v>2</v>
      </c>
      <c r="M23" s="15">
        <v>546756</v>
      </c>
      <c r="N23" s="15">
        <v>531781</v>
      </c>
      <c r="O23" s="15">
        <v>530310</v>
      </c>
      <c r="P23" s="15">
        <v>547412</v>
      </c>
      <c r="Q23" s="15">
        <v>549574</v>
      </c>
      <c r="R23" s="15">
        <v>555348</v>
      </c>
      <c r="S23" s="15">
        <v>572337</v>
      </c>
      <c r="T23" s="15">
        <v>562450</v>
      </c>
      <c r="U23" s="15">
        <v>571356</v>
      </c>
      <c r="V23" s="15">
        <v>567025</v>
      </c>
      <c r="W23" s="15">
        <v>561499</v>
      </c>
      <c r="X23" s="15">
        <v>544375</v>
      </c>
    </row>
    <row r="24" spans="1:24">
      <c r="D24" s="2" t="s">
        <v>3</v>
      </c>
      <c r="M24" s="15">
        <v>90845</v>
      </c>
      <c r="N24" s="15">
        <v>88574</v>
      </c>
      <c r="O24" s="15">
        <v>85387</v>
      </c>
      <c r="P24" s="15">
        <v>87910</v>
      </c>
      <c r="Q24" s="15">
        <v>89038</v>
      </c>
      <c r="R24" s="15">
        <v>88860</v>
      </c>
      <c r="S24" s="15">
        <v>90643</v>
      </c>
      <c r="T24" s="15">
        <v>90627</v>
      </c>
      <c r="U24" s="15">
        <v>91153</v>
      </c>
      <c r="V24" s="15">
        <v>89882</v>
      </c>
      <c r="W24" s="15">
        <v>88742</v>
      </c>
      <c r="X24" s="15">
        <v>82583</v>
      </c>
    </row>
    <row r="25" spans="1:24"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>
      <c r="C26" s="2" t="s">
        <v>60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12372</v>
      </c>
      <c r="N26" s="14">
        <v>12058</v>
      </c>
      <c r="O26" s="14">
        <v>12267</v>
      </c>
      <c r="P26" s="14">
        <v>12628</v>
      </c>
      <c r="Q26" s="14">
        <v>12568</v>
      </c>
      <c r="R26" s="14">
        <v>12937</v>
      </c>
      <c r="S26" s="14">
        <v>12146</v>
      </c>
      <c r="T26" s="14">
        <v>11689</v>
      </c>
      <c r="U26" s="14">
        <v>11835</v>
      </c>
      <c r="V26" s="14">
        <v>11845</v>
      </c>
      <c r="W26" s="14">
        <v>11826</v>
      </c>
      <c r="X26" s="14">
        <v>11631</v>
      </c>
    </row>
    <row r="27" spans="1:24">
      <c r="D27" s="2" t="s">
        <v>12</v>
      </c>
      <c r="M27" s="15">
        <v>319</v>
      </c>
      <c r="N27" s="15">
        <v>311</v>
      </c>
      <c r="O27" s="15">
        <v>318</v>
      </c>
      <c r="P27" s="15">
        <v>328</v>
      </c>
      <c r="Q27" s="15">
        <v>327</v>
      </c>
      <c r="R27" s="15">
        <v>296</v>
      </c>
      <c r="S27" s="15">
        <v>294</v>
      </c>
      <c r="T27" s="15">
        <v>283</v>
      </c>
      <c r="U27" s="15">
        <v>286</v>
      </c>
      <c r="V27" s="15">
        <v>287</v>
      </c>
      <c r="W27" s="15">
        <v>287</v>
      </c>
      <c r="X27" s="15">
        <v>244</v>
      </c>
    </row>
    <row r="28" spans="1:24">
      <c r="D28" s="2" t="s">
        <v>13</v>
      </c>
      <c r="M28" s="15">
        <v>1976</v>
      </c>
      <c r="N28" s="15">
        <v>1925</v>
      </c>
      <c r="O28" s="15">
        <v>1937</v>
      </c>
      <c r="P28" s="15">
        <v>1997</v>
      </c>
      <c r="Q28" s="15">
        <v>1997</v>
      </c>
      <c r="R28" s="15">
        <v>2048</v>
      </c>
      <c r="S28" s="15">
        <v>1918</v>
      </c>
      <c r="T28" s="15">
        <v>1864</v>
      </c>
      <c r="U28" s="15">
        <v>1886</v>
      </c>
      <c r="V28" s="15">
        <v>1880</v>
      </c>
      <c r="W28" s="15">
        <v>1877</v>
      </c>
      <c r="X28" s="15">
        <v>1831</v>
      </c>
    </row>
    <row r="29" spans="1:24">
      <c r="D29" s="2" t="s">
        <v>14</v>
      </c>
      <c r="M29" s="15">
        <v>9551</v>
      </c>
      <c r="N29" s="15">
        <v>9310</v>
      </c>
      <c r="O29" s="15">
        <v>9513</v>
      </c>
      <c r="P29" s="15">
        <v>9811</v>
      </c>
      <c r="Q29" s="15">
        <v>9757</v>
      </c>
      <c r="R29" s="15">
        <v>10089</v>
      </c>
      <c r="S29" s="15">
        <v>9425</v>
      </c>
      <c r="T29" s="15">
        <v>9052</v>
      </c>
      <c r="U29" s="15">
        <v>9166</v>
      </c>
      <c r="V29" s="15">
        <v>9181</v>
      </c>
      <c r="W29" s="15">
        <v>9189</v>
      </c>
      <c r="X29" s="15">
        <v>9091</v>
      </c>
    </row>
    <row r="30" spans="1:24">
      <c r="D30" s="2" t="s">
        <v>15</v>
      </c>
      <c r="M30" s="15">
        <v>458</v>
      </c>
      <c r="N30" s="15">
        <v>446</v>
      </c>
      <c r="O30" s="15">
        <v>432</v>
      </c>
      <c r="P30" s="15">
        <v>423</v>
      </c>
      <c r="Q30" s="15">
        <v>419</v>
      </c>
      <c r="R30" s="15">
        <v>433</v>
      </c>
      <c r="S30" s="15">
        <v>442</v>
      </c>
      <c r="T30" s="15">
        <v>426</v>
      </c>
      <c r="U30" s="15">
        <v>432</v>
      </c>
      <c r="V30" s="15">
        <v>432</v>
      </c>
      <c r="W30" s="15">
        <v>408</v>
      </c>
      <c r="X30" s="15">
        <v>401</v>
      </c>
    </row>
    <row r="31" spans="1:24">
      <c r="D31" s="2" t="s">
        <v>16</v>
      </c>
      <c r="M31" s="15">
        <v>68</v>
      </c>
      <c r="N31" s="15">
        <v>66</v>
      </c>
      <c r="O31" s="15">
        <v>67</v>
      </c>
      <c r="P31" s="15">
        <v>69</v>
      </c>
      <c r="Q31" s="15">
        <v>68</v>
      </c>
      <c r="R31" s="15">
        <v>71</v>
      </c>
      <c r="S31" s="15">
        <v>67</v>
      </c>
      <c r="T31" s="15">
        <v>64</v>
      </c>
      <c r="U31" s="15">
        <v>65</v>
      </c>
      <c r="V31" s="15">
        <v>65</v>
      </c>
      <c r="W31" s="15">
        <v>65</v>
      </c>
      <c r="X31" s="15">
        <v>64</v>
      </c>
    </row>
    <row r="32" spans="1:24"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>
      <c r="C33" s="2" t="s">
        <v>84</v>
      </c>
      <c r="M33" s="15">
        <v>433064</v>
      </c>
      <c r="N33" s="15">
        <v>421914</v>
      </c>
      <c r="O33" s="15">
        <v>428395</v>
      </c>
      <c r="P33" s="15">
        <v>441900</v>
      </c>
      <c r="Q33" s="15">
        <v>439896</v>
      </c>
      <c r="R33" s="15">
        <v>461336</v>
      </c>
      <c r="S33" s="15">
        <v>470582</v>
      </c>
      <c r="T33" s="15">
        <v>454301</v>
      </c>
      <c r="U33" s="15">
        <v>459953</v>
      </c>
      <c r="V33" s="15">
        <v>459796</v>
      </c>
      <c r="W33" s="15">
        <v>459562</v>
      </c>
      <c r="X33" s="15">
        <v>498645</v>
      </c>
    </row>
    <row r="34" spans="1:24"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>
      <c r="A35" s="9"/>
      <c r="B35" s="9"/>
      <c r="C35" s="9"/>
      <c r="D35" s="9"/>
      <c r="E35" s="9"/>
      <c r="F35" s="9"/>
    </row>
    <row r="36" spans="1:24">
      <c r="A36" s="2" t="s">
        <v>67</v>
      </c>
    </row>
    <row r="37" spans="1:24">
      <c r="A37" s="1"/>
    </row>
    <row r="38" spans="1:24">
      <c r="A38" s="79" t="s">
        <v>8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>
        <v>49.5</v>
      </c>
      <c r="N38" s="79">
        <v>48.25</v>
      </c>
      <c r="O38" s="79">
        <v>49.35</v>
      </c>
      <c r="P38" s="79">
        <v>50.9</v>
      </c>
      <c r="Q38" s="79">
        <v>50.6</v>
      </c>
      <c r="R38" s="79">
        <v>52.35</v>
      </c>
      <c r="S38" s="79">
        <v>53.35</v>
      </c>
      <c r="T38" s="79">
        <v>51.2</v>
      </c>
      <c r="U38" s="79">
        <v>51.85</v>
      </c>
      <c r="V38" s="79">
        <v>51.95</v>
      </c>
      <c r="W38" s="79">
        <v>52</v>
      </c>
      <c r="X38" s="79">
        <v>51.5</v>
      </c>
    </row>
    <row r="39" spans="1:24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</row>
    <row r="40" spans="1:24">
      <c r="A40" s="11" t="s">
        <v>81</v>
      </c>
      <c r="G40" s="2"/>
      <c r="H40" s="2"/>
      <c r="I40" s="2"/>
      <c r="J40" s="2"/>
      <c r="K40" s="2"/>
      <c r="L40" s="2"/>
    </row>
    <row r="41" spans="1:24">
      <c r="A41" s="11" t="s">
        <v>68</v>
      </c>
      <c r="G41" s="2"/>
      <c r="H41" s="2"/>
      <c r="I41" s="2"/>
      <c r="J41" s="2"/>
      <c r="K41" s="2"/>
      <c r="L41" s="2"/>
    </row>
    <row r="42" spans="1:24">
      <c r="A42" s="11" t="s">
        <v>85</v>
      </c>
      <c r="G42" s="2"/>
      <c r="H42" s="2"/>
      <c r="I42" s="2"/>
      <c r="J42" s="2"/>
      <c r="K42" s="2"/>
      <c r="L42" s="2"/>
    </row>
    <row r="43" spans="1:24">
      <c r="A43" s="11"/>
      <c r="F43" s="11"/>
    </row>
    <row r="44" spans="1:24">
      <c r="F44" s="11"/>
    </row>
    <row r="45" spans="1:24">
      <c r="A45" s="11" t="s">
        <v>35</v>
      </c>
      <c r="F45" s="11"/>
    </row>
    <row r="46" spans="1:24">
      <c r="F46" s="11"/>
    </row>
    <row r="53" spans="13:13">
      <c r="M53" s="79"/>
    </row>
    <row r="54" spans="13:13">
      <c r="M54" s="11"/>
    </row>
    <row r="55" spans="13:13">
      <c r="M55" s="11"/>
    </row>
    <row r="56" spans="13:13">
      <c r="M56" s="11"/>
    </row>
    <row r="57" spans="13:13">
      <c r="M57" s="15"/>
    </row>
  </sheetData>
  <mergeCells count="1">
    <mergeCell ref="A5:F5"/>
  </mergeCells>
  <pageMargins left="0.74803149606299213" right="0" top="0.78740157480314965" bottom="0" header="0" footer="0"/>
  <pageSetup paperSize="9" scale="65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8ECE-E4B1-4FD1-AE71-9067C7A554DA}">
  <sheetPr>
    <pageSetUpPr fitToPage="1"/>
  </sheetPr>
  <dimension ref="A1:R49"/>
  <sheetViews>
    <sheetView workbookViewId="0">
      <selection activeCell="F14" sqref="F14"/>
    </sheetView>
  </sheetViews>
  <sheetFormatPr defaultRowHeight="13.5" customHeight="1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 ht="13.5" customHeight="1">
      <c r="A1" s="1" t="s">
        <v>133</v>
      </c>
    </row>
    <row r="2" spans="1:18" ht="13.5" customHeight="1">
      <c r="A2" s="1" t="s">
        <v>83</v>
      </c>
      <c r="F2" s="1" t="s">
        <v>35</v>
      </c>
    </row>
    <row r="3" spans="1:18" ht="13.5" customHeight="1">
      <c r="A3" s="2" t="s">
        <v>0</v>
      </c>
    </row>
    <row r="4" spans="1:18" ht="13.5" customHeight="1">
      <c r="G4" s="9"/>
      <c r="I4" s="9"/>
      <c r="L4" s="9"/>
      <c r="M4" s="9"/>
      <c r="N4" s="9"/>
      <c r="O4" s="9"/>
      <c r="P4" s="9"/>
      <c r="Q4" s="9"/>
    </row>
    <row r="5" spans="1:18" s="128" customFormat="1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6" t="s">
        <v>28</v>
      </c>
      <c r="N5" s="76" t="s">
        <v>29</v>
      </c>
      <c r="O5" s="76" t="s">
        <v>39</v>
      </c>
      <c r="P5" s="76" t="s">
        <v>31</v>
      </c>
      <c r="Q5" s="76" t="s">
        <v>32</v>
      </c>
      <c r="R5" s="78" t="s">
        <v>33</v>
      </c>
    </row>
    <row r="6" spans="1:18" ht="10.5" customHeight="1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 ht="13.5" customHeight="1">
      <c r="A7" s="1" t="s">
        <v>17</v>
      </c>
      <c r="B7" s="1"/>
      <c r="C7" s="1"/>
      <c r="D7" s="1"/>
      <c r="E7" s="1"/>
      <c r="F7" s="1"/>
      <c r="G7" s="126">
        <f t="shared" ref="G7:R7" si="0">+G9+G16</f>
        <v>473486.42700000003</v>
      </c>
      <c r="H7" s="126">
        <f t="shared" si="0"/>
        <v>460706.42700000003</v>
      </c>
      <c r="I7" s="126">
        <f t="shared" si="0"/>
        <v>465619.42700000003</v>
      </c>
      <c r="J7" s="126">
        <f t="shared" si="0"/>
        <v>480711.42700000003</v>
      </c>
      <c r="K7" s="126">
        <f t="shared" si="0"/>
        <v>481272.42700000003</v>
      </c>
      <c r="L7" s="126">
        <f t="shared" si="0"/>
        <v>489117.42700000003</v>
      </c>
      <c r="M7" s="126">
        <f t="shared" si="0"/>
        <v>496129.42700000003</v>
      </c>
      <c r="N7" s="126">
        <f t="shared" si="0"/>
        <v>486108.42700000003</v>
      </c>
      <c r="O7" s="126">
        <f t="shared" si="0"/>
        <v>494074.42700000003</v>
      </c>
      <c r="P7" s="126">
        <f t="shared" si="0"/>
        <v>491284.42700000003</v>
      </c>
      <c r="Q7" s="126">
        <f t="shared" si="0"/>
        <v>493355.42700000003</v>
      </c>
      <c r="R7" s="126">
        <f t="shared" si="0"/>
        <v>495777.42700000003</v>
      </c>
    </row>
    <row r="8" spans="1:18" ht="13.5" customHeight="1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 ht="13.5" customHeight="1">
      <c r="A9" s="1" t="s">
        <v>59</v>
      </c>
      <c r="B9" s="1"/>
      <c r="C9" s="1"/>
      <c r="D9" s="1"/>
      <c r="E9" s="1"/>
      <c r="F9" s="1"/>
      <c r="G9" s="13">
        <f>+G11+G12</f>
        <v>12407.427</v>
      </c>
      <c r="H9" s="13">
        <f>+H11+H12</f>
        <v>12306.427</v>
      </c>
      <c r="I9" s="13">
        <f>+I11+I12</f>
        <v>12343.427</v>
      </c>
      <c r="J9" s="13">
        <f>+J11+J12+1</f>
        <v>12382.427</v>
      </c>
      <c r="K9" s="13">
        <f>+K11+K12+1</f>
        <v>12329.427</v>
      </c>
      <c r="L9" s="13">
        <f>+L11+L12+1</f>
        <v>12391.427</v>
      </c>
      <c r="M9" s="13">
        <f>+M11+M12+1</f>
        <v>12425.427</v>
      </c>
      <c r="N9" s="13">
        <f>+N11+N12</f>
        <v>12315.427</v>
      </c>
      <c r="O9" s="13">
        <f>+O11+O12</f>
        <v>15335.427</v>
      </c>
      <c r="P9" s="13">
        <f>+P11+P12</f>
        <v>15247.427</v>
      </c>
      <c r="Q9" s="13">
        <f>+Q11+Q12+1</f>
        <v>26223.427</v>
      </c>
      <c r="R9" s="13">
        <f>+R11+R12</f>
        <v>23167.427</v>
      </c>
    </row>
    <row r="10" spans="1:18" ht="13.5" customHeight="1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13.5" customHeight="1">
      <c r="B11" s="2" t="s">
        <v>134</v>
      </c>
      <c r="G11" s="15">
        <v>12224</v>
      </c>
      <c r="H11" s="15">
        <v>12123</v>
      </c>
      <c r="I11" s="15">
        <v>12160</v>
      </c>
      <c r="J11" s="15">
        <v>12198</v>
      </c>
      <c r="K11" s="15">
        <v>12145</v>
      </c>
      <c r="L11" s="15">
        <v>12207</v>
      </c>
      <c r="M11" s="15">
        <v>12241</v>
      </c>
      <c r="N11" s="15">
        <v>12132</v>
      </c>
      <c r="O11" s="15">
        <v>15152</v>
      </c>
      <c r="P11" s="15">
        <v>15064</v>
      </c>
      <c r="Q11" s="15">
        <v>26039</v>
      </c>
      <c r="R11" s="15">
        <v>22984</v>
      </c>
    </row>
    <row r="12" spans="1:18" ht="13.5" customHeight="1">
      <c r="B12" s="2" t="s">
        <v>135</v>
      </c>
      <c r="G12" s="14">
        <f t="shared" ref="G12:R12" si="1">+SUM(G13:G14)</f>
        <v>183.42699999999999</v>
      </c>
      <c r="H12" s="14">
        <f t="shared" si="1"/>
        <v>183.42699999999999</v>
      </c>
      <c r="I12" s="14">
        <f t="shared" si="1"/>
        <v>183.42699999999999</v>
      </c>
      <c r="J12" s="14">
        <f t="shared" si="1"/>
        <v>183.42699999999999</v>
      </c>
      <c r="K12" s="14">
        <f t="shared" si="1"/>
        <v>183.42699999999999</v>
      </c>
      <c r="L12" s="14">
        <f t="shared" si="1"/>
        <v>183.42699999999999</v>
      </c>
      <c r="M12" s="14">
        <f t="shared" si="1"/>
        <v>183.42699999999999</v>
      </c>
      <c r="N12" s="14">
        <f t="shared" si="1"/>
        <v>183.42699999999999</v>
      </c>
      <c r="O12" s="14">
        <f t="shared" si="1"/>
        <v>183.42699999999999</v>
      </c>
      <c r="P12" s="14">
        <f t="shared" si="1"/>
        <v>183.42699999999999</v>
      </c>
      <c r="Q12" s="14">
        <f t="shared" si="1"/>
        <v>183.42699999999999</v>
      </c>
      <c r="R12" s="14">
        <f t="shared" si="1"/>
        <v>183.42699999999999</v>
      </c>
    </row>
    <row r="13" spans="1:18" ht="13.5" customHeight="1">
      <c r="C13" s="2" t="s">
        <v>13</v>
      </c>
      <c r="G13" s="15">
        <v>36.826000000000001</v>
      </c>
      <c r="H13" s="15">
        <v>36.826000000000001</v>
      </c>
      <c r="I13" s="15">
        <v>36.826000000000001</v>
      </c>
      <c r="J13" s="15">
        <v>36.826000000000001</v>
      </c>
      <c r="K13" s="15">
        <v>36.826000000000001</v>
      </c>
      <c r="L13" s="15">
        <v>36.826000000000001</v>
      </c>
      <c r="M13" s="15">
        <v>36.826000000000001</v>
      </c>
      <c r="N13" s="15">
        <v>36.826000000000001</v>
      </c>
      <c r="O13" s="15">
        <v>36.826000000000001</v>
      </c>
      <c r="P13" s="15">
        <v>36.826000000000001</v>
      </c>
      <c r="Q13" s="15">
        <v>36.826000000000001</v>
      </c>
      <c r="R13" s="15">
        <v>36.826000000000001</v>
      </c>
    </row>
    <row r="14" spans="1:18" ht="13.5" customHeight="1">
      <c r="C14" s="2" t="s">
        <v>15</v>
      </c>
      <c r="G14" s="15">
        <v>146.601</v>
      </c>
      <c r="H14" s="15">
        <v>146.601</v>
      </c>
      <c r="I14" s="15">
        <v>146.601</v>
      </c>
      <c r="J14" s="15">
        <v>146.601</v>
      </c>
      <c r="K14" s="15">
        <v>146.601</v>
      </c>
      <c r="L14" s="15">
        <v>146.601</v>
      </c>
      <c r="M14" s="15">
        <v>146.601</v>
      </c>
      <c r="N14" s="15">
        <v>146.601</v>
      </c>
      <c r="O14" s="15">
        <v>146.601</v>
      </c>
      <c r="P14" s="15">
        <v>146.601</v>
      </c>
      <c r="Q14" s="15">
        <v>146.601</v>
      </c>
      <c r="R14" s="15">
        <v>146.601</v>
      </c>
    </row>
    <row r="15" spans="1:18" ht="13.5" customHeight="1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ht="13.5" customHeight="1">
      <c r="A16" s="1" t="s">
        <v>136</v>
      </c>
      <c r="B16" s="1"/>
      <c r="C16" s="1"/>
      <c r="D16" s="1"/>
      <c r="E16" s="1"/>
      <c r="F16" s="1"/>
      <c r="G16" s="13">
        <f t="shared" ref="G16:R16" si="2">+G18+G19</f>
        <v>461079</v>
      </c>
      <c r="H16" s="13">
        <f t="shared" si="2"/>
        <v>448400</v>
      </c>
      <c r="I16" s="13">
        <f t="shared" si="2"/>
        <v>453276</v>
      </c>
      <c r="J16" s="13">
        <f t="shared" si="2"/>
        <v>468329</v>
      </c>
      <c r="K16" s="13">
        <f>+K18+K19</f>
        <v>468943</v>
      </c>
      <c r="L16" s="13">
        <f t="shared" si="2"/>
        <v>476726</v>
      </c>
      <c r="M16" s="13">
        <f t="shared" si="2"/>
        <v>483704</v>
      </c>
      <c r="N16" s="13">
        <f t="shared" si="2"/>
        <v>473793</v>
      </c>
      <c r="O16" s="13">
        <f t="shared" si="2"/>
        <v>478739</v>
      </c>
      <c r="P16" s="13">
        <f t="shared" si="2"/>
        <v>476037</v>
      </c>
      <c r="Q16" s="13">
        <f t="shared" si="2"/>
        <v>467132</v>
      </c>
      <c r="R16" s="13">
        <f t="shared" si="2"/>
        <v>472610</v>
      </c>
    </row>
    <row r="17" spans="1:18" ht="13.5" customHeight="1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13.5" customHeight="1">
      <c r="B18" s="2" t="s">
        <v>134</v>
      </c>
      <c r="G18" s="15">
        <v>442854</v>
      </c>
      <c r="H18" s="15">
        <v>430678</v>
      </c>
      <c r="I18" s="15">
        <v>435847</v>
      </c>
      <c r="J18" s="15">
        <v>450349</v>
      </c>
      <c r="K18" s="15">
        <v>450895</v>
      </c>
      <c r="L18" s="15">
        <v>458452</v>
      </c>
      <c r="M18" s="15">
        <v>466162</v>
      </c>
      <c r="N18" s="15">
        <v>456422</v>
      </c>
      <c r="O18" s="15">
        <v>461174</v>
      </c>
      <c r="P18" s="15">
        <v>458649</v>
      </c>
      <c r="Q18" s="15">
        <v>449857</v>
      </c>
      <c r="R18" s="15">
        <v>456093</v>
      </c>
    </row>
    <row r="19" spans="1:18" ht="13.5" customHeight="1">
      <c r="B19" s="2" t="s">
        <v>135</v>
      </c>
      <c r="G19" s="14">
        <f t="shared" ref="G19:L19" si="3">+SUM(G20:G23)</f>
        <v>18225</v>
      </c>
      <c r="H19" s="14">
        <f t="shared" si="3"/>
        <v>17722</v>
      </c>
      <c r="I19" s="14">
        <f t="shared" si="3"/>
        <v>17429</v>
      </c>
      <c r="J19" s="14">
        <f t="shared" si="3"/>
        <v>17980</v>
      </c>
      <c r="K19" s="14">
        <f>+SUM(K20:K23)</f>
        <v>18048</v>
      </c>
      <c r="L19" s="14">
        <f t="shared" si="3"/>
        <v>18274</v>
      </c>
      <c r="M19" s="14">
        <f t="shared" ref="M19:R19" si="4">+SUM(M20:M23)</f>
        <v>17542</v>
      </c>
      <c r="N19" s="14">
        <f t="shared" si="4"/>
        <v>17371</v>
      </c>
      <c r="O19" s="14">
        <f t="shared" si="4"/>
        <v>17565</v>
      </c>
      <c r="P19" s="14">
        <f t="shared" si="4"/>
        <v>17388</v>
      </c>
      <c r="Q19" s="14">
        <f t="shared" si="4"/>
        <v>17275</v>
      </c>
      <c r="R19" s="14">
        <f t="shared" si="4"/>
        <v>16517</v>
      </c>
    </row>
    <row r="20" spans="1:18" ht="13.5" customHeight="1">
      <c r="C20" s="2" t="s">
        <v>12</v>
      </c>
      <c r="G20" s="15">
        <v>6466</v>
      </c>
      <c r="H20" s="15">
        <v>6299</v>
      </c>
      <c r="I20" s="15">
        <v>6346</v>
      </c>
      <c r="J20" s="15">
        <v>6543</v>
      </c>
      <c r="K20" s="15">
        <v>6547</v>
      </c>
      <c r="L20" s="15">
        <v>6717</v>
      </c>
      <c r="M20" s="15">
        <v>6669</v>
      </c>
      <c r="N20" s="15">
        <v>6470</v>
      </c>
      <c r="O20" s="15">
        <v>6548</v>
      </c>
      <c r="P20" s="15">
        <v>6532</v>
      </c>
      <c r="Q20" s="15">
        <v>6523</v>
      </c>
      <c r="R20" s="15">
        <v>6371</v>
      </c>
    </row>
    <row r="21" spans="1:18" ht="13.5" customHeight="1">
      <c r="C21" s="2" t="s">
        <v>13</v>
      </c>
      <c r="G21" s="15">
        <v>11228</v>
      </c>
      <c r="H21" s="15">
        <v>10908</v>
      </c>
      <c r="I21" s="15">
        <v>10566</v>
      </c>
      <c r="J21" s="15">
        <v>10903</v>
      </c>
      <c r="K21" s="15">
        <v>10974</v>
      </c>
      <c r="L21" s="15">
        <v>11018</v>
      </c>
      <c r="M21" s="15">
        <v>10360</v>
      </c>
      <c r="N21" s="15">
        <v>10398</v>
      </c>
      <c r="O21" s="15">
        <v>10509</v>
      </c>
      <c r="P21" s="15">
        <v>10351</v>
      </c>
      <c r="Q21" s="15">
        <v>10249</v>
      </c>
      <c r="R21" s="15">
        <v>9655</v>
      </c>
    </row>
    <row r="22" spans="1:18" ht="13.5" customHeight="1">
      <c r="C22" s="2" t="s">
        <v>21</v>
      </c>
      <c r="G22" s="15">
        <v>292</v>
      </c>
      <c r="H22" s="15">
        <v>284</v>
      </c>
      <c r="I22" s="15">
        <v>291</v>
      </c>
      <c r="J22" s="15">
        <v>300</v>
      </c>
      <c r="K22" s="15">
        <v>298</v>
      </c>
      <c r="L22" s="15">
        <v>307</v>
      </c>
      <c r="M22" s="15">
        <v>291</v>
      </c>
      <c r="N22" s="15">
        <v>280</v>
      </c>
      <c r="O22" s="15">
        <v>283</v>
      </c>
      <c r="P22" s="15">
        <v>283</v>
      </c>
      <c r="Q22" s="15">
        <v>284</v>
      </c>
      <c r="R22" s="15">
        <v>279</v>
      </c>
    </row>
    <row r="23" spans="1:18" ht="13.5" customHeight="1">
      <c r="C23" s="2" t="s">
        <v>15</v>
      </c>
      <c r="G23" s="15">
        <v>239</v>
      </c>
      <c r="H23" s="15">
        <v>231</v>
      </c>
      <c r="I23" s="15">
        <v>226</v>
      </c>
      <c r="J23" s="15">
        <v>234</v>
      </c>
      <c r="K23" s="15">
        <v>229</v>
      </c>
      <c r="L23" s="15">
        <v>232</v>
      </c>
      <c r="M23" s="15">
        <v>222</v>
      </c>
      <c r="N23" s="15">
        <v>223</v>
      </c>
      <c r="O23" s="15">
        <v>225</v>
      </c>
      <c r="P23" s="15">
        <v>222</v>
      </c>
      <c r="Q23" s="15">
        <v>219</v>
      </c>
      <c r="R23" s="15">
        <v>212</v>
      </c>
    </row>
    <row r="24" spans="1:18" ht="13.5" customHeight="1">
      <c r="G24" s="15"/>
    </row>
    <row r="25" spans="1:18" ht="13.5" customHeight="1">
      <c r="A25" s="9"/>
      <c r="B25" s="9"/>
      <c r="C25" s="9"/>
      <c r="D25" s="9"/>
      <c r="E25" s="9"/>
      <c r="F25" s="9"/>
    </row>
    <row r="26" spans="1:18" ht="13.5" customHeight="1">
      <c r="A26" s="2" t="s">
        <v>80</v>
      </c>
    </row>
    <row r="27" spans="1:18" ht="13.5" customHeight="1">
      <c r="A27" s="1"/>
    </row>
    <row r="28" spans="1:18" ht="13.5" customHeight="1">
      <c r="A28" s="1"/>
    </row>
    <row r="29" spans="1:18" ht="13.5" customHeight="1">
      <c r="A29" s="1"/>
    </row>
    <row r="30" spans="1:18" ht="13.5" customHeight="1">
      <c r="A30" s="1"/>
    </row>
    <row r="31" spans="1:18" ht="13.5" customHeight="1">
      <c r="A31" s="1"/>
    </row>
    <row r="32" spans="1:18" ht="13.5" customHeight="1">
      <c r="A32" s="11" t="s">
        <v>22</v>
      </c>
    </row>
    <row r="33" spans="1:7" ht="13.5" customHeight="1">
      <c r="A33" s="11" t="s">
        <v>68</v>
      </c>
    </row>
    <row r="34" spans="1:7" ht="13.5" customHeight="1">
      <c r="A34" s="11" t="s">
        <v>146</v>
      </c>
      <c r="F34" s="11"/>
    </row>
    <row r="35" spans="1:7" ht="13.5" customHeight="1">
      <c r="A35" s="83" t="s">
        <v>35</v>
      </c>
    </row>
    <row r="36" spans="1:7" ht="13.5" customHeight="1">
      <c r="F36" s="11"/>
    </row>
    <row r="37" spans="1:7" ht="13.5" customHeight="1">
      <c r="A37" s="11" t="s">
        <v>35</v>
      </c>
      <c r="F37" s="11"/>
    </row>
    <row r="38" spans="1:7" ht="13.5" customHeight="1">
      <c r="F38" s="11"/>
    </row>
    <row r="45" spans="1:7" ht="13.5" customHeight="1">
      <c r="G45" s="79"/>
    </row>
    <row r="46" spans="1:7" ht="13.5" customHeight="1">
      <c r="G46" s="11"/>
    </row>
    <row r="47" spans="1:7" ht="13.5" customHeight="1">
      <c r="G47" s="11"/>
    </row>
    <row r="48" spans="1:7" ht="13.5" customHeight="1">
      <c r="G48" s="11"/>
    </row>
    <row r="49" spans="7:7" ht="13.5" customHeight="1">
      <c r="G49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4">
    <pageSetUpPr fitToPage="1"/>
  </sheetPr>
  <dimension ref="A1:W56"/>
  <sheetViews>
    <sheetView workbookViewId="0">
      <selection activeCell="D11" sqref="D11"/>
    </sheetView>
  </sheetViews>
  <sheetFormatPr defaultRowHeight="16.5"/>
  <cols>
    <col min="1" max="4" width="2.28515625" style="2" customWidth="1"/>
    <col min="5" max="5" width="17.42578125" style="2" customWidth="1"/>
    <col min="6" max="6" width="10.85546875" style="15" hidden="1" customWidth="1"/>
    <col min="7" max="7" width="4.140625" style="15" hidden="1" customWidth="1"/>
    <col min="8" max="8" width="2.5703125" style="15" hidden="1" customWidth="1"/>
    <col min="9" max="9" width="4.140625" style="15" hidden="1" customWidth="1"/>
    <col min="10" max="10" width="4.85546875" style="15" hidden="1" customWidth="1"/>
    <col min="11" max="11" width="6" style="15" hidden="1" customWidth="1"/>
    <col min="12" max="23" width="10.140625" style="2" bestFit="1" customWidth="1"/>
    <col min="24" max="256" width="9.140625" style="2"/>
    <col min="257" max="260" width="2.28515625" style="2" customWidth="1"/>
    <col min="261" max="261" width="17.42578125" style="2" customWidth="1"/>
    <col min="262" max="267" width="0" style="2" hidden="1" customWidth="1"/>
    <col min="268" max="279" width="9.7109375" style="2" customWidth="1"/>
    <col min="280" max="512" width="9.140625" style="2"/>
    <col min="513" max="516" width="2.28515625" style="2" customWidth="1"/>
    <col min="517" max="517" width="17.42578125" style="2" customWidth="1"/>
    <col min="518" max="523" width="0" style="2" hidden="1" customWidth="1"/>
    <col min="524" max="535" width="9.7109375" style="2" customWidth="1"/>
    <col min="536" max="768" width="9.140625" style="2"/>
    <col min="769" max="772" width="2.28515625" style="2" customWidth="1"/>
    <col min="773" max="773" width="17.42578125" style="2" customWidth="1"/>
    <col min="774" max="779" width="0" style="2" hidden="1" customWidth="1"/>
    <col min="780" max="791" width="9.7109375" style="2" customWidth="1"/>
    <col min="792" max="1024" width="9.140625" style="2"/>
    <col min="1025" max="1028" width="2.28515625" style="2" customWidth="1"/>
    <col min="1029" max="1029" width="17.42578125" style="2" customWidth="1"/>
    <col min="1030" max="1035" width="0" style="2" hidden="1" customWidth="1"/>
    <col min="1036" max="1047" width="9.7109375" style="2" customWidth="1"/>
    <col min="1048" max="1280" width="9.140625" style="2"/>
    <col min="1281" max="1284" width="2.28515625" style="2" customWidth="1"/>
    <col min="1285" max="1285" width="17.42578125" style="2" customWidth="1"/>
    <col min="1286" max="1291" width="0" style="2" hidden="1" customWidth="1"/>
    <col min="1292" max="1303" width="9.7109375" style="2" customWidth="1"/>
    <col min="1304" max="1536" width="9.140625" style="2"/>
    <col min="1537" max="1540" width="2.28515625" style="2" customWidth="1"/>
    <col min="1541" max="1541" width="17.42578125" style="2" customWidth="1"/>
    <col min="1542" max="1547" width="0" style="2" hidden="1" customWidth="1"/>
    <col min="1548" max="1559" width="9.7109375" style="2" customWidth="1"/>
    <col min="1560" max="1792" width="9.140625" style="2"/>
    <col min="1793" max="1796" width="2.28515625" style="2" customWidth="1"/>
    <col min="1797" max="1797" width="17.42578125" style="2" customWidth="1"/>
    <col min="1798" max="1803" width="0" style="2" hidden="1" customWidth="1"/>
    <col min="1804" max="1815" width="9.7109375" style="2" customWidth="1"/>
    <col min="1816" max="2048" width="9.140625" style="2"/>
    <col min="2049" max="2052" width="2.28515625" style="2" customWidth="1"/>
    <col min="2053" max="2053" width="17.42578125" style="2" customWidth="1"/>
    <col min="2054" max="2059" width="0" style="2" hidden="1" customWidth="1"/>
    <col min="2060" max="2071" width="9.7109375" style="2" customWidth="1"/>
    <col min="2072" max="2304" width="9.140625" style="2"/>
    <col min="2305" max="2308" width="2.28515625" style="2" customWidth="1"/>
    <col min="2309" max="2309" width="17.42578125" style="2" customWidth="1"/>
    <col min="2310" max="2315" width="0" style="2" hidden="1" customWidth="1"/>
    <col min="2316" max="2327" width="9.7109375" style="2" customWidth="1"/>
    <col min="2328" max="2560" width="9.140625" style="2"/>
    <col min="2561" max="2564" width="2.28515625" style="2" customWidth="1"/>
    <col min="2565" max="2565" width="17.42578125" style="2" customWidth="1"/>
    <col min="2566" max="2571" width="0" style="2" hidden="1" customWidth="1"/>
    <col min="2572" max="2583" width="9.7109375" style="2" customWidth="1"/>
    <col min="2584" max="2816" width="9.140625" style="2"/>
    <col min="2817" max="2820" width="2.28515625" style="2" customWidth="1"/>
    <col min="2821" max="2821" width="17.42578125" style="2" customWidth="1"/>
    <col min="2822" max="2827" width="0" style="2" hidden="1" customWidth="1"/>
    <col min="2828" max="2839" width="9.7109375" style="2" customWidth="1"/>
    <col min="2840" max="3072" width="9.140625" style="2"/>
    <col min="3073" max="3076" width="2.28515625" style="2" customWidth="1"/>
    <col min="3077" max="3077" width="17.42578125" style="2" customWidth="1"/>
    <col min="3078" max="3083" width="0" style="2" hidden="1" customWidth="1"/>
    <col min="3084" max="3095" width="9.7109375" style="2" customWidth="1"/>
    <col min="3096" max="3328" width="9.140625" style="2"/>
    <col min="3329" max="3332" width="2.28515625" style="2" customWidth="1"/>
    <col min="3333" max="3333" width="17.42578125" style="2" customWidth="1"/>
    <col min="3334" max="3339" width="0" style="2" hidden="1" customWidth="1"/>
    <col min="3340" max="3351" width="9.7109375" style="2" customWidth="1"/>
    <col min="3352" max="3584" width="9.140625" style="2"/>
    <col min="3585" max="3588" width="2.28515625" style="2" customWidth="1"/>
    <col min="3589" max="3589" width="17.42578125" style="2" customWidth="1"/>
    <col min="3590" max="3595" width="0" style="2" hidden="1" customWidth="1"/>
    <col min="3596" max="3607" width="9.7109375" style="2" customWidth="1"/>
    <col min="3608" max="3840" width="9.140625" style="2"/>
    <col min="3841" max="3844" width="2.28515625" style="2" customWidth="1"/>
    <col min="3845" max="3845" width="17.42578125" style="2" customWidth="1"/>
    <col min="3846" max="3851" width="0" style="2" hidden="1" customWidth="1"/>
    <col min="3852" max="3863" width="9.7109375" style="2" customWidth="1"/>
    <col min="3864" max="4096" width="9.140625" style="2"/>
    <col min="4097" max="4100" width="2.28515625" style="2" customWidth="1"/>
    <col min="4101" max="4101" width="17.42578125" style="2" customWidth="1"/>
    <col min="4102" max="4107" width="0" style="2" hidden="1" customWidth="1"/>
    <col min="4108" max="4119" width="9.7109375" style="2" customWidth="1"/>
    <col min="4120" max="4352" width="9.140625" style="2"/>
    <col min="4353" max="4356" width="2.28515625" style="2" customWidth="1"/>
    <col min="4357" max="4357" width="17.42578125" style="2" customWidth="1"/>
    <col min="4358" max="4363" width="0" style="2" hidden="1" customWidth="1"/>
    <col min="4364" max="4375" width="9.7109375" style="2" customWidth="1"/>
    <col min="4376" max="4608" width="9.140625" style="2"/>
    <col min="4609" max="4612" width="2.28515625" style="2" customWidth="1"/>
    <col min="4613" max="4613" width="17.42578125" style="2" customWidth="1"/>
    <col min="4614" max="4619" width="0" style="2" hidden="1" customWidth="1"/>
    <col min="4620" max="4631" width="9.7109375" style="2" customWidth="1"/>
    <col min="4632" max="4864" width="9.140625" style="2"/>
    <col min="4865" max="4868" width="2.28515625" style="2" customWidth="1"/>
    <col min="4869" max="4869" width="17.42578125" style="2" customWidth="1"/>
    <col min="4870" max="4875" width="0" style="2" hidden="1" customWidth="1"/>
    <col min="4876" max="4887" width="9.7109375" style="2" customWidth="1"/>
    <col min="4888" max="5120" width="9.140625" style="2"/>
    <col min="5121" max="5124" width="2.28515625" style="2" customWidth="1"/>
    <col min="5125" max="5125" width="17.42578125" style="2" customWidth="1"/>
    <col min="5126" max="5131" width="0" style="2" hidden="1" customWidth="1"/>
    <col min="5132" max="5143" width="9.7109375" style="2" customWidth="1"/>
    <col min="5144" max="5376" width="9.140625" style="2"/>
    <col min="5377" max="5380" width="2.28515625" style="2" customWidth="1"/>
    <col min="5381" max="5381" width="17.42578125" style="2" customWidth="1"/>
    <col min="5382" max="5387" width="0" style="2" hidden="1" customWidth="1"/>
    <col min="5388" max="5399" width="9.7109375" style="2" customWidth="1"/>
    <col min="5400" max="5632" width="9.140625" style="2"/>
    <col min="5633" max="5636" width="2.28515625" style="2" customWidth="1"/>
    <col min="5637" max="5637" width="17.42578125" style="2" customWidth="1"/>
    <col min="5638" max="5643" width="0" style="2" hidden="1" customWidth="1"/>
    <col min="5644" max="5655" width="9.7109375" style="2" customWidth="1"/>
    <col min="5656" max="5888" width="9.140625" style="2"/>
    <col min="5889" max="5892" width="2.28515625" style="2" customWidth="1"/>
    <col min="5893" max="5893" width="17.42578125" style="2" customWidth="1"/>
    <col min="5894" max="5899" width="0" style="2" hidden="1" customWidth="1"/>
    <col min="5900" max="5911" width="9.7109375" style="2" customWidth="1"/>
    <col min="5912" max="6144" width="9.140625" style="2"/>
    <col min="6145" max="6148" width="2.28515625" style="2" customWidth="1"/>
    <col min="6149" max="6149" width="17.42578125" style="2" customWidth="1"/>
    <col min="6150" max="6155" width="0" style="2" hidden="1" customWidth="1"/>
    <col min="6156" max="6167" width="9.7109375" style="2" customWidth="1"/>
    <col min="6168" max="6400" width="9.140625" style="2"/>
    <col min="6401" max="6404" width="2.28515625" style="2" customWidth="1"/>
    <col min="6405" max="6405" width="17.42578125" style="2" customWidth="1"/>
    <col min="6406" max="6411" width="0" style="2" hidden="1" customWidth="1"/>
    <col min="6412" max="6423" width="9.7109375" style="2" customWidth="1"/>
    <col min="6424" max="6656" width="9.140625" style="2"/>
    <col min="6657" max="6660" width="2.28515625" style="2" customWidth="1"/>
    <col min="6661" max="6661" width="17.42578125" style="2" customWidth="1"/>
    <col min="6662" max="6667" width="0" style="2" hidden="1" customWidth="1"/>
    <col min="6668" max="6679" width="9.7109375" style="2" customWidth="1"/>
    <col min="6680" max="6912" width="9.140625" style="2"/>
    <col min="6913" max="6916" width="2.28515625" style="2" customWidth="1"/>
    <col min="6917" max="6917" width="17.42578125" style="2" customWidth="1"/>
    <col min="6918" max="6923" width="0" style="2" hidden="1" customWidth="1"/>
    <col min="6924" max="6935" width="9.7109375" style="2" customWidth="1"/>
    <col min="6936" max="7168" width="9.140625" style="2"/>
    <col min="7169" max="7172" width="2.28515625" style="2" customWidth="1"/>
    <col min="7173" max="7173" width="17.42578125" style="2" customWidth="1"/>
    <col min="7174" max="7179" width="0" style="2" hidden="1" customWidth="1"/>
    <col min="7180" max="7191" width="9.7109375" style="2" customWidth="1"/>
    <col min="7192" max="7424" width="9.140625" style="2"/>
    <col min="7425" max="7428" width="2.28515625" style="2" customWidth="1"/>
    <col min="7429" max="7429" width="17.42578125" style="2" customWidth="1"/>
    <col min="7430" max="7435" width="0" style="2" hidden="1" customWidth="1"/>
    <col min="7436" max="7447" width="9.7109375" style="2" customWidth="1"/>
    <col min="7448" max="7680" width="9.140625" style="2"/>
    <col min="7681" max="7684" width="2.28515625" style="2" customWidth="1"/>
    <col min="7685" max="7685" width="17.42578125" style="2" customWidth="1"/>
    <col min="7686" max="7691" width="0" style="2" hidden="1" customWidth="1"/>
    <col min="7692" max="7703" width="9.7109375" style="2" customWidth="1"/>
    <col min="7704" max="7936" width="9.140625" style="2"/>
    <col min="7937" max="7940" width="2.28515625" style="2" customWidth="1"/>
    <col min="7941" max="7941" width="17.42578125" style="2" customWidth="1"/>
    <col min="7942" max="7947" width="0" style="2" hidden="1" customWidth="1"/>
    <col min="7948" max="7959" width="9.7109375" style="2" customWidth="1"/>
    <col min="7960" max="8192" width="9.140625" style="2"/>
    <col min="8193" max="8196" width="2.28515625" style="2" customWidth="1"/>
    <col min="8197" max="8197" width="17.42578125" style="2" customWidth="1"/>
    <col min="8198" max="8203" width="0" style="2" hidden="1" customWidth="1"/>
    <col min="8204" max="8215" width="9.7109375" style="2" customWidth="1"/>
    <col min="8216" max="8448" width="9.140625" style="2"/>
    <col min="8449" max="8452" width="2.28515625" style="2" customWidth="1"/>
    <col min="8453" max="8453" width="17.42578125" style="2" customWidth="1"/>
    <col min="8454" max="8459" width="0" style="2" hidden="1" customWidth="1"/>
    <col min="8460" max="8471" width="9.7109375" style="2" customWidth="1"/>
    <col min="8472" max="8704" width="9.140625" style="2"/>
    <col min="8705" max="8708" width="2.28515625" style="2" customWidth="1"/>
    <col min="8709" max="8709" width="17.42578125" style="2" customWidth="1"/>
    <col min="8710" max="8715" width="0" style="2" hidden="1" customWidth="1"/>
    <col min="8716" max="8727" width="9.7109375" style="2" customWidth="1"/>
    <col min="8728" max="8960" width="9.140625" style="2"/>
    <col min="8961" max="8964" width="2.28515625" style="2" customWidth="1"/>
    <col min="8965" max="8965" width="17.42578125" style="2" customWidth="1"/>
    <col min="8966" max="8971" width="0" style="2" hidden="1" customWidth="1"/>
    <col min="8972" max="8983" width="9.7109375" style="2" customWidth="1"/>
    <col min="8984" max="9216" width="9.140625" style="2"/>
    <col min="9217" max="9220" width="2.28515625" style="2" customWidth="1"/>
    <col min="9221" max="9221" width="17.42578125" style="2" customWidth="1"/>
    <col min="9222" max="9227" width="0" style="2" hidden="1" customWidth="1"/>
    <col min="9228" max="9239" width="9.7109375" style="2" customWidth="1"/>
    <col min="9240" max="9472" width="9.140625" style="2"/>
    <col min="9473" max="9476" width="2.28515625" style="2" customWidth="1"/>
    <col min="9477" max="9477" width="17.42578125" style="2" customWidth="1"/>
    <col min="9478" max="9483" width="0" style="2" hidden="1" customWidth="1"/>
    <col min="9484" max="9495" width="9.7109375" style="2" customWidth="1"/>
    <col min="9496" max="9728" width="9.140625" style="2"/>
    <col min="9729" max="9732" width="2.28515625" style="2" customWidth="1"/>
    <col min="9733" max="9733" width="17.42578125" style="2" customWidth="1"/>
    <col min="9734" max="9739" width="0" style="2" hidden="1" customWidth="1"/>
    <col min="9740" max="9751" width="9.7109375" style="2" customWidth="1"/>
    <col min="9752" max="9984" width="9.140625" style="2"/>
    <col min="9985" max="9988" width="2.28515625" style="2" customWidth="1"/>
    <col min="9989" max="9989" width="17.42578125" style="2" customWidth="1"/>
    <col min="9990" max="9995" width="0" style="2" hidden="1" customWidth="1"/>
    <col min="9996" max="10007" width="9.7109375" style="2" customWidth="1"/>
    <col min="10008" max="10240" width="9.140625" style="2"/>
    <col min="10241" max="10244" width="2.28515625" style="2" customWidth="1"/>
    <col min="10245" max="10245" width="17.42578125" style="2" customWidth="1"/>
    <col min="10246" max="10251" width="0" style="2" hidden="1" customWidth="1"/>
    <col min="10252" max="10263" width="9.7109375" style="2" customWidth="1"/>
    <col min="10264" max="10496" width="9.140625" style="2"/>
    <col min="10497" max="10500" width="2.28515625" style="2" customWidth="1"/>
    <col min="10501" max="10501" width="17.42578125" style="2" customWidth="1"/>
    <col min="10502" max="10507" width="0" style="2" hidden="1" customWidth="1"/>
    <col min="10508" max="10519" width="9.7109375" style="2" customWidth="1"/>
    <col min="10520" max="10752" width="9.140625" style="2"/>
    <col min="10753" max="10756" width="2.28515625" style="2" customWidth="1"/>
    <col min="10757" max="10757" width="17.42578125" style="2" customWidth="1"/>
    <col min="10758" max="10763" width="0" style="2" hidden="1" customWidth="1"/>
    <col min="10764" max="10775" width="9.7109375" style="2" customWidth="1"/>
    <col min="10776" max="11008" width="9.140625" style="2"/>
    <col min="11009" max="11012" width="2.28515625" style="2" customWidth="1"/>
    <col min="11013" max="11013" width="17.42578125" style="2" customWidth="1"/>
    <col min="11014" max="11019" width="0" style="2" hidden="1" customWidth="1"/>
    <col min="11020" max="11031" width="9.7109375" style="2" customWidth="1"/>
    <col min="11032" max="11264" width="9.140625" style="2"/>
    <col min="11265" max="11268" width="2.28515625" style="2" customWidth="1"/>
    <col min="11269" max="11269" width="17.42578125" style="2" customWidth="1"/>
    <col min="11270" max="11275" width="0" style="2" hidden="1" customWidth="1"/>
    <col min="11276" max="11287" width="9.7109375" style="2" customWidth="1"/>
    <col min="11288" max="11520" width="9.140625" style="2"/>
    <col min="11521" max="11524" width="2.28515625" style="2" customWidth="1"/>
    <col min="11525" max="11525" width="17.42578125" style="2" customWidth="1"/>
    <col min="11526" max="11531" width="0" style="2" hidden="1" customWidth="1"/>
    <col min="11532" max="11543" width="9.7109375" style="2" customWidth="1"/>
    <col min="11544" max="11776" width="9.140625" style="2"/>
    <col min="11777" max="11780" width="2.28515625" style="2" customWidth="1"/>
    <col min="11781" max="11781" width="17.42578125" style="2" customWidth="1"/>
    <col min="11782" max="11787" width="0" style="2" hidden="1" customWidth="1"/>
    <col min="11788" max="11799" width="9.7109375" style="2" customWidth="1"/>
    <col min="11800" max="12032" width="9.140625" style="2"/>
    <col min="12033" max="12036" width="2.28515625" style="2" customWidth="1"/>
    <col min="12037" max="12037" width="17.42578125" style="2" customWidth="1"/>
    <col min="12038" max="12043" width="0" style="2" hidden="1" customWidth="1"/>
    <col min="12044" max="12055" width="9.7109375" style="2" customWidth="1"/>
    <col min="12056" max="12288" width="9.140625" style="2"/>
    <col min="12289" max="12292" width="2.28515625" style="2" customWidth="1"/>
    <col min="12293" max="12293" width="17.42578125" style="2" customWidth="1"/>
    <col min="12294" max="12299" width="0" style="2" hidden="1" customWidth="1"/>
    <col min="12300" max="12311" width="9.7109375" style="2" customWidth="1"/>
    <col min="12312" max="12544" width="9.140625" style="2"/>
    <col min="12545" max="12548" width="2.28515625" style="2" customWidth="1"/>
    <col min="12549" max="12549" width="17.42578125" style="2" customWidth="1"/>
    <col min="12550" max="12555" width="0" style="2" hidden="1" customWidth="1"/>
    <col min="12556" max="12567" width="9.7109375" style="2" customWidth="1"/>
    <col min="12568" max="12800" width="9.140625" style="2"/>
    <col min="12801" max="12804" width="2.28515625" style="2" customWidth="1"/>
    <col min="12805" max="12805" width="17.42578125" style="2" customWidth="1"/>
    <col min="12806" max="12811" width="0" style="2" hidden="1" customWidth="1"/>
    <col min="12812" max="12823" width="9.7109375" style="2" customWidth="1"/>
    <col min="12824" max="13056" width="9.140625" style="2"/>
    <col min="13057" max="13060" width="2.28515625" style="2" customWidth="1"/>
    <col min="13061" max="13061" width="17.42578125" style="2" customWidth="1"/>
    <col min="13062" max="13067" width="0" style="2" hidden="1" customWidth="1"/>
    <col min="13068" max="13079" width="9.7109375" style="2" customWidth="1"/>
    <col min="13080" max="13312" width="9.140625" style="2"/>
    <col min="13313" max="13316" width="2.28515625" style="2" customWidth="1"/>
    <col min="13317" max="13317" width="17.42578125" style="2" customWidth="1"/>
    <col min="13318" max="13323" width="0" style="2" hidden="1" customWidth="1"/>
    <col min="13324" max="13335" width="9.7109375" style="2" customWidth="1"/>
    <col min="13336" max="13568" width="9.140625" style="2"/>
    <col min="13569" max="13572" width="2.28515625" style="2" customWidth="1"/>
    <col min="13573" max="13573" width="17.42578125" style="2" customWidth="1"/>
    <col min="13574" max="13579" width="0" style="2" hidden="1" customWidth="1"/>
    <col min="13580" max="13591" width="9.7109375" style="2" customWidth="1"/>
    <col min="13592" max="13824" width="9.140625" style="2"/>
    <col min="13825" max="13828" width="2.28515625" style="2" customWidth="1"/>
    <col min="13829" max="13829" width="17.42578125" style="2" customWidth="1"/>
    <col min="13830" max="13835" width="0" style="2" hidden="1" customWidth="1"/>
    <col min="13836" max="13847" width="9.7109375" style="2" customWidth="1"/>
    <col min="13848" max="14080" width="9.140625" style="2"/>
    <col min="14081" max="14084" width="2.28515625" style="2" customWidth="1"/>
    <col min="14085" max="14085" width="17.42578125" style="2" customWidth="1"/>
    <col min="14086" max="14091" width="0" style="2" hidden="1" customWidth="1"/>
    <col min="14092" max="14103" width="9.7109375" style="2" customWidth="1"/>
    <col min="14104" max="14336" width="9.140625" style="2"/>
    <col min="14337" max="14340" width="2.28515625" style="2" customWidth="1"/>
    <col min="14341" max="14341" width="17.42578125" style="2" customWidth="1"/>
    <col min="14342" max="14347" width="0" style="2" hidden="1" customWidth="1"/>
    <col min="14348" max="14359" width="9.7109375" style="2" customWidth="1"/>
    <col min="14360" max="14592" width="9.140625" style="2"/>
    <col min="14593" max="14596" width="2.28515625" style="2" customWidth="1"/>
    <col min="14597" max="14597" width="17.42578125" style="2" customWidth="1"/>
    <col min="14598" max="14603" width="0" style="2" hidden="1" customWidth="1"/>
    <col min="14604" max="14615" width="9.7109375" style="2" customWidth="1"/>
    <col min="14616" max="14848" width="9.140625" style="2"/>
    <col min="14849" max="14852" width="2.28515625" style="2" customWidth="1"/>
    <col min="14853" max="14853" width="17.42578125" style="2" customWidth="1"/>
    <col min="14854" max="14859" width="0" style="2" hidden="1" customWidth="1"/>
    <col min="14860" max="14871" width="9.7109375" style="2" customWidth="1"/>
    <col min="14872" max="15104" width="9.140625" style="2"/>
    <col min="15105" max="15108" width="2.28515625" style="2" customWidth="1"/>
    <col min="15109" max="15109" width="17.42578125" style="2" customWidth="1"/>
    <col min="15110" max="15115" width="0" style="2" hidden="1" customWidth="1"/>
    <col min="15116" max="15127" width="9.7109375" style="2" customWidth="1"/>
    <col min="15128" max="15360" width="9.140625" style="2"/>
    <col min="15361" max="15364" width="2.28515625" style="2" customWidth="1"/>
    <col min="15365" max="15365" width="17.42578125" style="2" customWidth="1"/>
    <col min="15366" max="15371" width="0" style="2" hidden="1" customWidth="1"/>
    <col min="15372" max="15383" width="9.7109375" style="2" customWidth="1"/>
    <col min="15384" max="15616" width="9.140625" style="2"/>
    <col min="15617" max="15620" width="2.28515625" style="2" customWidth="1"/>
    <col min="15621" max="15621" width="17.42578125" style="2" customWidth="1"/>
    <col min="15622" max="15627" width="0" style="2" hidden="1" customWidth="1"/>
    <col min="15628" max="15639" width="9.7109375" style="2" customWidth="1"/>
    <col min="15640" max="15872" width="9.140625" style="2"/>
    <col min="15873" max="15876" width="2.28515625" style="2" customWidth="1"/>
    <col min="15877" max="15877" width="17.42578125" style="2" customWidth="1"/>
    <col min="15878" max="15883" width="0" style="2" hidden="1" customWidth="1"/>
    <col min="15884" max="15895" width="9.7109375" style="2" customWidth="1"/>
    <col min="15896" max="16128" width="9.140625" style="2"/>
    <col min="16129" max="16132" width="2.28515625" style="2" customWidth="1"/>
    <col min="16133" max="16133" width="17.42578125" style="2" customWidth="1"/>
    <col min="16134" max="16139" width="0" style="2" hidden="1" customWidth="1"/>
    <col min="16140" max="16151" width="9.7109375" style="2" customWidth="1"/>
    <col min="16152" max="16384" width="9.140625" style="2"/>
  </cols>
  <sheetData>
    <row r="1" spans="1:23">
      <c r="A1" s="1" t="s">
        <v>25</v>
      </c>
      <c r="B1" s="1"/>
    </row>
    <row r="2" spans="1:23">
      <c r="A2" s="1" t="s">
        <v>86</v>
      </c>
      <c r="B2" s="1"/>
      <c r="E2" s="1"/>
    </row>
    <row r="3" spans="1:23">
      <c r="A3" s="2" t="s">
        <v>0</v>
      </c>
    </row>
    <row r="4" spans="1:23" ht="12" customHeight="1"/>
    <row r="5" spans="1:23" ht="18" customHeight="1">
      <c r="A5" s="177" t="s">
        <v>1</v>
      </c>
      <c r="B5" s="178"/>
      <c r="C5" s="178"/>
      <c r="D5" s="178"/>
      <c r="E5" s="178"/>
      <c r="F5" s="84" t="s">
        <v>28</v>
      </c>
      <c r="G5" s="84" t="s">
        <v>29</v>
      </c>
      <c r="H5" s="84" t="s">
        <v>39</v>
      </c>
      <c r="I5" s="84" t="s">
        <v>31</v>
      </c>
      <c r="J5" s="84" t="s">
        <v>32</v>
      </c>
      <c r="K5" s="84" t="s">
        <v>33</v>
      </c>
      <c r="L5" s="77" t="s">
        <v>5</v>
      </c>
      <c r="M5" s="77" t="s">
        <v>23</v>
      </c>
      <c r="N5" s="77" t="s">
        <v>24</v>
      </c>
      <c r="O5" s="77" t="s">
        <v>26</v>
      </c>
      <c r="P5" s="77" t="s">
        <v>27</v>
      </c>
      <c r="Q5" s="77" t="s">
        <v>36</v>
      </c>
      <c r="R5" s="77" t="s">
        <v>28</v>
      </c>
      <c r="S5" s="77" t="s">
        <v>29</v>
      </c>
      <c r="T5" s="77" t="s">
        <v>39</v>
      </c>
      <c r="U5" s="77" t="s">
        <v>31</v>
      </c>
      <c r="V5" s="77" t="s">
        <v>32</v>
      </c>
      <c r="W5" s="78" t="s">
        <v>33</v>
      </c>
    </row>
    <row r="6" spans="1:23" ht="9" customHeight="1">
      <c r="A6" s="1"/>
      <c r="B6" s="1"/>
      <c r="C6" s="1"/>
      <c r="D6" s="1"/>
      <c r="E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 t="s">
        <v>17</v>
      </c>
      <c r="B7" s="1"/>
      <c r="C7" s="1"/>
      <c r="D7" s="1"/>
      <c r="E7" s="1"/>
      <c r="L7" s="13">
        <v>1768694</v>
      </c>
      <c r="M7" s="13">
        <v>1784943</v>
      </c>
      <c r="N7" s="13">
        <v>1887413</v>
      </c>
      <c r="O7" s="13">
        <v>1899243</v>
      </c>
      <c r="P7" s="13">
        <v>1943557.307</v>
      </c>
      <c r="Q7" s="13">
        <v>1954769</v>
      </c>
      <c r="R7" s="13">
        <v>1969908.307</v>
      </c>
      <c r="S7" s="13">
        <v>2009586</v>
      </c>
      <c r="T7" s="13">
        <v>2035140.307</v>
      </c>
      <c r="U7" s="13">
        <v>2163404.307</v>
      </c>
      <c r="V7" s="13">
        <v>2172154.307</v>
      </c>
      <c r="W7" s="13">
        <v>2166710.307</v>
      </c>
    </row>
    <row r="8" spans="1:23" ht="7.5" customHeight="1"/>
    <row r="9" spans="1:23">
      <c r="A9" s="1"/>
      <c r="B9" s="1" t="s">
        <v>59</v>
      </c>
      <c r="F9" s="82">
        <v>699925</v>
      </c>
      <c r="G9" s="82">
        <v>703844</v>
      </c>
      <c r="H9" s="82">
        <v>704035</v>
      </c>
      <c r="I9" s="82">
        <v>696498</v>
      </c>
      <c r="J9" s="82">
        <v>696057</v>
      </c>
      <c r="K9" s="82">
        <v>697716</v>
      </c>
      <c r="L9" s="82">
        <v>985105</v>
      </c>
      <c r="M9" s="82">
        <v>999385</v>
      </c>
      <c r="N9" s="82">
        <v>1019362</v>
      </c>
      <c r="O9" s="82">
        <v>1029155</v>
      </c>
      <c r="P9" s="82">
        <v>1043248.307</v>
      </c>
      <c r="Q9" s="82">
        <v>1046333</v>
      </c>
      <c r="R9" s="82">
        <v>1042018.307</v>
      </c>
      <c r="S9" s="82">
        <v>1053124</v>
      </c>
      <c r="T9" s="82">
        <v>1030743.307</v>
      </c>
      <c r="U9" s="82">
        <v>1030111.307</v>
      </c>
      <c r="V9" s="82">
        <v>1079260.307</v>
      </c>
      <c r="W9" s="82">
        <v>1068200.307</v>
      </c>
    </row>
    <row r="10" spans="1:23">
      <c r="A10" s="1" t="s">
        <v>35</v>
      </c>
      <c r="B10" s="1"/>
      <c r="C10" s="2" t="s">
        <v>87</v>
      </c>
      <c r="F10" s="14">
        <v>699925</v>
      </c>
      <c r="G10" s="14">
        <v>703844</v>
      </c>
      <c r="H10" s="14">
        <v>704035</v>
      </c>
      <c r="I10" s="14">
        <v>696498</v>
      </c>
      <c r="J10" s="14">
        <v>696057</v>
      </c>
      <c r="K10" s="14">
        <v>697716</v>
      </c>
      <c r="L10" s="14">
        <v>964669</v>
      </c>
      <c r="M10" s="14">
        <v>978724</v>
      </c>
      <c r="N10" s="14">
        <v>998634</v>
      </c>
      <c r="O10" s="14">
        <v>1008337</v>
      </c>
      <c r="P10" s="14">
        <v>1021757</v>
      </c>
      <c r="Q10" s="14">
        <v>1027084</v>
      </c>
      <c r="R10" s="14">
        <v>1022082</v>
      </c>
      <c r="S10" s="14">
        <v>1033129</v>
      </c>
      <c r="T10" s="14">
        <v>1010296</v>
      </c>
      <c r="U10" s="14">
        <v>1007601</v>
      </c>
      <c r="V10" s="14">
        <v>1057536</v>
      </c>
      <c r="W10" s="14">
        <v>1049083</v>
      </c>
    </row>
    <row r="11" spans="1:23">
      <c r="D11" s="2" t="s">
        <v>88</v>
      </c>
      <c r="F11" s="15">
        <v>699925</v>
      </c>
      <c r="G11" s="15">
        <v>703844</v>
      </c>
      <c r="H11" s="15">
        <v>704035</v>
      </c>
      <c r="I11" s="15">
        <v>696498</v>
      </c>
      <c r="J11" s="15">
        <v>696057</v>
      </c>
      <c r="K11" s="15">
        <v>697716</v>
      </c>
      <c r="L11" s="15">
        <v>924833</v>
      </c>
      <c r="M11" s="15">
        <v>938580</v>
      </c>
      <c r="N11" s="15">
        <v>958432</v>
      </c>
      <c r="O11" s="15">
        <v>968014</v>
      </c>
      <c r="P11" s="15">
        <v>980510</v>
      </c>
      <c r="Q11" s="15">
        <v>985592</v>
      </c>
      <c r="R11" s="15">
        <v>979511</v>
      </c>
      <c r="S11" s="15">
        <v>990465</v>
      </c>
      <c r="T11" s="15">
        <v>994734</v>
      </c>
      <c r="U11" s="15">
        <v>992038</v>
      </c>
      <c r="V11" s="15">
        <v>1041986</v>
      </c>
      <c r="W11" s="15">
        <v>1033542</v>
      </c>
    </row>
    <row r="12" spans="1:23">
      <c r="D12" s="2" t="s">
        <v>2</v>
      </c>
      <c r="L12" s="15">
        <v>39836</v>
      </c>
      <c r="M12" s="15">
        <v>40144</v>
      </c>
      <c r="N12" s="15">
        <v>40202</v>
      </c>
      <c r="O12" s="15">
        <v>40323</v>
      </c>
      <c r="P12" s="15">
        <v>41247</v>
      </c>
      <c r="Q12" s="15">
        <v>41492</v>
      </c>
      <c r="R12" s="15">
        <v>42571</v>
      </c>
      <c r="S12" s="15">
        <v>42664</v>
      </c>
      <c r="T12" s="15">
        <v>15562</v>
      </c>
      <c r="U12" s="15">
        <v>15563</v>
      </c>
      <c r="V12" s="15">
        <v>15550</v>
      </c>
      <c r="W12" s="15">
        <v>15541</v>
      </c>
    </row>
    <row r="13" spans="1:23">
      <c r="D13" s="2" t="s">
        <v>89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</row>
    <row r="14" spans="1:23" ht="7.5" customHeight="1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C15" s="2" t="s">
        <v>4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20436</v>
      </c>
      <c r="M15" s="14">
        <v>20661</v>
      </c>
      <c r="N15" s="14">
        <v>20728</v>
      </c>
      <c r="O15" s="14">
        <v>20818</v>
      </c>
      <c r="P15" s="14">
        <v>21491.307000000001</v>
      </c>
      <c r="Q15" s="14">
        <v>19249</v>
      </c>
      <c r="R15" s="14">
        <v>19936.307000000001</v>
      </c>
      <c r="S15" s="14">
        <v>19995</v>
      </c>
      <c r="T15" s="14">
        <v>20447.307000000001</v>
      </c>
      <c r="U15" s="14">
        <v>22510.307000000001</v>
      </c>
      <c r="V15" s="14">
        <v>21724.307000000001</v>
      </c>
      <c r="W15" s="14">
        <v>19117.307000000001</v>
      </c>
    </row>
    <row r="16" spans="1:23">
      <c r="D16" s="2" t="s">
        <v>12</v>
      </c>
      <c r="L16" s="15">
        <v>6028</v>
      </c>
      <c r="M16" s="15">
        <v>6103</v>
      </c>
      <c r="N16" s="15">
        <v>6125</v>
      </c>
      <c r="O16" s="15">
        <v>6155</v>
      </c>
      <c r="P16" s="15">
        <v>6379</v>
      </c>
      <c r="Q16" s="15">
        <v>5634</v>
      </c>
      <c r="R16" s="15">
        <v>5862</v>
      </c>
      <c r="S16" s="15">
        <v>5882</v>
      </c>
      <c r="T16" s="15">
        <v>6032</v>
      </c>
      <c r="U16" s="15">
        <v>6717</v>
      </c>
      <c r="V16" s="15">
        <v>6456</v>
      </c>
      <c r="W16" s="15">
        <v>5590</v>
      </c>
    </row>
    <row r="17" spans="1:23">
      <c r="D17" s="2" t="s">
        <v>13</v>
      </c>
      <c r="L17" s="15">
        <v>14011</v>
      </c>
      <c r="M17" s="15">
        <v>14156</v>
      </c>
      <c r="N17" s="15">
        <v>14200</v>
      </c>
      <c r="O17" s="15">
        <v>14258</v>
      </c>
      <c r="P17" s="15">
        <v>14693</v>
      </c>
      <c r="Q17" s="15">
        <v>13244</v>
      </c>
      <c r="R17" s="15">
        <v>13688</v>
      </c>
      <c r="S17" s="15">
        <v>13726</v>
      </c>
      <c r="T17" s="15">
        <v>14018</v>
      </c>
      <c r="U17" s="15">
        <v>15351</v>
      </c>
      <c r="V17" s="15">
        <v>14843</v>
      </c>
      <c r="W17" s="15">
        <v>13159</v>
      </c>
    </row>
    <row r="18" spans="1:23">
      <c r="D18" s="2" t="s">
        <v>14</v>
      </c>
      <c r="L18" s="15">
        <v>391</v>
      </c>
      <c r="M18" s="15">
        <v>396</v>
      </c>
      <c r="N18" s="15">
        <v>397</v>
      </c>
      <c r="O18" s="15">
        <v>399</v>
      </c>
      <c r="P18" s="15">
        <v>413</v>
      </c>
      <c r="Q18" s="15">
        <v>365</v>
      </c>
      <c r="R18" s="15">
        <v>380</v>
      </c>
      <c r="S18" s="15">
        <v>381</v>
      </c>
      <c r="T18" s="15">
        <v>391</v>
      </c>
      <c r="U18" s="15">
        <v>436</v>
      </c>
      <c r="V18" s="15">
        <v>419</v>
      </c>
      <c r="W18" s="15">
        <v>362</v>
      </c>
    </row>
    <row r="19" spans="1:23">
      <c r="D19" s="2" t="s">
        <v>15</v>
      </c>
      <c r="L19" s="15">
        <v>6</v>
      </c>
      <c r="M19" s="15">
        <v>6</v>
      </c>
      <c r="N19" s="15">
        <v>6</v>
      </c>
      <c r="O19" s="15">
        <v>6</v>
      </c>
      <c r="P19" s="15">
        <v>6.3070000000000004</v>
      </c>
      <c r="Q19" s="15">
        <v>6</v>
      </c>
      <c r="R19" s="15">
        <v>6.3070000000000004</v>
      </c>
      <c r="S19" s="15">
        <v>6</v>
      </c>
      <c r="T19" s="15">
        <v>6.3070000000000004</v>
      </c>
      <c r="U19" s="15">
        <v>6.3070000000000004</v>
      </c>
      <c r="V19" s="15">
        <v>6.3070000000000004</v>
      </c>
      <c r="W19" s="15">
        <v>6.3070000000000004</v>
      </c>
    </row>
    <row r="20" spans="1:23" ht="7.5" customHeight="1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"/>
      <c r="B21" s="1" t="s">
        <v>125</v>
      </c>
      <c r="C21" s="1"/>
      <c r="D21" s="1"/>
      <c r="E21" s="1"/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783589</v>
      </c>
      <c r="M21" s="13">
        <v>785558</v>
      </c>
      <c r="N21" s="13">
        <v>868051</v>
      </c>
      <c r="O21" s="13">
        <v>870088</v>
      </c>
      <c r="P21" s="13">
        <v>900309</v>
      </c>
      <c r="Q21" s="13">
        <v>908436</v>
      </c>
      <c r="R21" s="13">
        <v>927890</v>
      </c>
      <c r="S21" s="13">
        <v>956462</v>
      </c>
      <c r="T21" s="13">
        <v>1004397</v>
      </c>
      <c r="U21" s="13">
        <v>1133293</v>
      </c>
      <c r="V21" s="13">
        <v>1092894</v>
      </c>
      <c r="W21" s="13">
        <v>1098510</v>
      </c>
    </row>
    <row r="22" spans="1:23">
      <c r="C22" s="2" t="s">
        <v>87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528355</v>
      </c>
      <c r="M22" s="14">
        <v>527551</v>
      </c>
      <c r="N22" s="14">
        <v>542975</v>
      </c>
      <c r="O22" s="14">
        <v>544345</v>
      </c>
      <c r="P22" s="14">
        <v>562437</v>
      </c>
      <c r="Q22" s="14">
        <v>570385</v>
      </c>
      <c r="R22" s="14">
        <v>578136</v>
      </c>
      <c r="S22" s="14">
        <v>590723</v>
      </c>
      <c r="T22" s="14">
        <v>601741</v>
      </c>
      <c r="U22" s="14">
        <v>686011</v>
      </c>
      <c r="V22" s="14">
        <v>653436</v>
      </c>
      <c r="W22" s="14">
        <v>647468</v>
      </c>
    </row>
    <row r="23" spans="1:23">
      <c r="D23" s="2" t="s">
        <v>2</v>
      </c>
      <c r="L23" s="15">
        <v>448456</v>
      </c>
      <c r="M23" s="15">
        <v>447674</v>
      </c>
      <c r="N23" s="15">
        <v>460653</v>
      </c>
      <c r="O23" s="15">
        <v>462423</v>
      </c>
      <c r="P23" s="15">
        <v>477976</v>
      </c>
      <c r="Q23" s="15">
        <v>484643</v>
      </c>
      <c r="R23" s="15">
        <v>492276</v>
      </c>
      <c r="S23" s="15">
        <v>502685</v>
      </c>
      <c r="T23" s="15">
        <v>513010</v>
      </c>
      <c r="U23" s="15">
        <v>588456</v>
      </c>
      <c r="V23" s="15">
        <v>559580</v>
      </c>
      <c r="W23" s="15">
        <v>554794</v>
      </c>
    </row>
    <row r="24" spans="1:23">
      <c r="D24" s="2" t="s">
        <v>3</v>
      </c>
      <c r="L24" s="15">
        <v>79899</v>
      </c>
      <c r="M24" s="15">
        <v>79877</v>
      </c>
      <c r="N24" s="15">
        <v>82322</v>
      </c>
      <c r="O24" s="15">
        <v>81922</v>
      </c>
      <c r="P24" s="15">
        <v>84461</v>
      </c>
      <c r="Q24" s="15">
        <v>85742</v>
      </c>
      <c r="R24" s="15">
        <v>85860</v>
      </c>
      <c r="S24" s="15">
        <v>88038</v>
      </c>
      <c r="T24" s="15">
        <v>88731</v>
      </c>
      <c r="U24" s="15">
        <v>97555</v>
      </c>
      <c r="V24" s="15">
        <v>93856</v>
      </c>
      <c r="W24" s="15">
        <v>92674</v>
      </c>
    </row>
    <row r="25" spans="1:23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C26" s="2" t="s">
        <v>4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13130</v>
      </c>
      <c r="M26" s="14">
        <v>13276</v>
      </c>
      <c r="N26" s="14">
        <v>13332</v>
      </c>
      <c r="O26" s="14">
        <v>13361</v>
      </c>
      <c r="P26" s="14">
        <v>13850</v>
      </c>
      <c r="Q26" s="14">
        <v>12600</v>
      </c>
      <c r="R26" s="14">
        <v>12196</v>
      </c>
      <c r="S26" s="14">
        <v>12252</v>
      </c>
      <c r="T26" s="14">
        <v>12555</v>
      </c>
      <c r="U26" s="14">
        <v>13967</v>
      </c>
      <c r="V26" s="14">
        <v>13395</v>
      </c>
      <c r="W26" s="14">
        <v>13472</v>
      </c>
    </row>
    <row r="27" spans="1:23">
      <c r="D27" s="2" t="s">
        <v>12</v>
      </c>
      <c r="L27" s="15">
        <v>360</v>
      </c>
      <c r="M27" s="15">
        <v>365</v>
      </c>
      <c r="N27" s="15">
        <v>366</v>
      </c>
      <c r="O27" s="15">
        <v>368</v>
      </c>
      <c r="P27" s="15">
        <v>381</v>
      </c>
      <c r="Q27" s="15">
        <v>325</v>
      </c>
      <c r="R27" s="15">
        <v>331</v>
      </c>
      <c r="S27" s="15">
        <v>333</v>
      </c>
      <c r="T27" s="15">
        <v>341</v>
      </c>
      <c r="U27" s="15">
        <v>380</v>
      </c>
      <c r="V27" s="15">
        <v>365</v>
      </c>
      <c r="W27" s="15">
        <v>329</v>
      </c>
    </row>
    <row r="28" spans="1:23">
      <c r="D28" s="2" t="s">
        <v>13</v>
      </c>
      <c r="L28" s="15">
        <v>2154</v>
      </c>
      <c r="M28" s="15">
        <v>2168</v>
      </c>
      <c r="N28" s="15">
        <v>2196</v>
      </c>
      <c r="O28" s="15">
        <v>2198</v>
      </c>
      <c r="P28" s="15">
        <v>2278</v>
      </c>
      <c r="Q28" s="15">
        <v>2054</v>
      </c>
      <c r="R28" s="15">
        <v>1966</v>
      </c>
      <c r="S28" s="15">
        <v>1984</v>
      </c>
      <c r="T28" s="15">
        <v>2028</v>
      </c>
      <c r="U28" s="15">
        <v>2248</v>
      </c>
      <c r="V28" s="15">
        <v>2156</v>
      </c>
      <c r="W28" s="15">
        <v>2163</v>
      </c>
    </row>
    <row r="29" spans="1:23">
      <c r="D29" s="2" t="s">
        <v>14</v>
      </c>
      <c r="L29" s="15">
        <v>9918</v>
      </c>
      <c r="M29" s="15">
        <v>10037</v>
      </c>
      <c r="N29" s="15">
        <v>10081</v>
      </c>
      <c r="O29" s="15">
        <v>10128</v>
      </c>
      <c r="P29" s="15">
        <v>10497</v>
      </c>
      <c r="Q29" s="15">
        <v>9729</v>
      </c>
      <c r="R29" s="15">
        <v>9394</v>
      </c>
      <c r="S29" s="15">
        <v>9430</v>
      </c>
      <c r="T29" s="15">
        <v>9669</v>
      </c>
      <c r="U29" s="15">
        <v>10765</v>
      </c>
      <c r="V29" s="15">
        <v>10345</v>
      </c>
      <c r="W29" s="15">
        <v>10443</v>
      </c>
    </row>
    <row r="30" spans="1:23">
      <c r="D30" s="2" t="s">
        <v>15</v>
      </c>
      <c r="L30" s="15">
        <v>438</v>
      </c>
      <c r="M30" s="15">
        <v>443</v>
      </c>
      <c r="N30" s="15">
        <v>426</v>
      </c>
      <c r="O30" s="15">
        <v>407</v>
      </c>
      <c r="P30" s="15">
        <v>423</v>
      </c>
      <c r="Q30" s="15">
        <v>422</v>
      </c>
      <c r="R30" s="15">
        <v>438</v>
      </c>
      <c r="S30" s="15">
        <v>438</v>
      </c>
      <c r="T30" s="15">
        <v>449</v>
      </c>
      <c r="U30" s="15">
        <v>499</v>
      </c>
      <c r="V30" s="15">
        <v>457</v>
      </c>
      <c r="W30" s="15">
        <v>462</v>
      </c>
    </row>
    <row r="31" spans="1:23">
      <c r="D31" s="2" t="s">
        <v>16</v>
      </c>
      <c r="L31" s="15">
        <v>260</v>
      </c>
      <c r="M31" s="15">
        <v>263</v>
      </c>
      <c r="N31" s="15">
        <v>263</v>
      </c>
      <c r="O31" s="15">
        <v>260</v>
      </c>
      <c r="P31" s="15">
        <v>271</v>
      </c>
      <c r="Q31" s="15">
        <v>70</v>
      </c>
      <c r="R31" s="15">
        <v>67</v>
      </c>
      <c r="S31" s="15">
        <v>67</v>
      </c>
      <c r="T31" s="15">
        <v>68</v>
      </c>
      <c r="U31" s="15">
        <v>75</v>
      </c>
      <c r="V31" s="15">
        <v>72</v>
      </c>
      <c r="W31" s="15">
        <v>75</v>
      </c>
    </row>
    <row r="32" spans="1:23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C33" s="2" t="s">
        <v>84</v>
      </c>
      <c r="L33" s="15">
        <v>242104</v>
      </c>
      <c r="M33" s="15">
        <v>244731</v>
      </c>
      <c r="N33" s="15">
        <v>311744</v>
      </c>
      <c r="O33" s="15">
        <v>312382</v>
      </c>
      <c r="P33" s="15">
        <v>324022</v>
      </c>
      <c r="Q33" s="15">
        <v>325451</v>
      </c>
      <c r="R33" s="15">
        <v>337558</v>
      </c>
      <c r="S33" s="15">
        <v>353487</v>
      </c>
      <c r="T33" s="15">
        <v>390101</v>
      </c>
      <c r="U33" s="15">
        <v>433315</v>
      </c>
      <c r="V33" s="15">
        <v>426063</v>
      </c>
      <c r="W33" s="15">
        <v>437570</v>
      </c>
    </row>
    <row r="34" spans="1:23" ht="7.5" customHeight="1"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7.5" customHeight="1">
      <c r="A35" s="9"/>
      <c r="B35" s="9"/>
      <c r="C35" s="9"/>
      <c r="D35" s="9"/>
      <c r="E35" s="8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>
      <c r="A36" s="2" t="s">
        <v>90</v>
      </c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</row>
    <row r="37" spans="1:23"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</row>
    <row r="38" spans="1:23">
      <c r="A38" s="2" t="s">
        <v>8</v>
      </c>
      <c r="B38" s="1"/>
      <c r="C38" s="1"/>
      <c r="D38" s="1"/>
      <c r="E38" s="1"/>
      <c r="F38" s="85"/>
      <c r="G38" s="85"/>
      <c r="H38" s="85"/>
      <c r="I38" s="85"/>
      <c r="J38" s="85"/>
      <c r="K38" s="85"/>
      <c r="L38" s="79">
        <v>40.4</v>
      </c>
      <c r="M38" s="79">
        <v>40.9</v>
      </c>
      <c r="N38" s="79">
        <v>41.05</v>
      </c>
      <c r="O38" s="79">
        <v>41.25</v>
      </c>
      <c r="P38" s="79">
        <v>42.75</v>
      </c>
      <c r="Q38" s="79">
        <v>43.15</v>
      </c>
      <c r="R38" s="79">
        <v>44.9</v>
      </c>
      <c r="S38" s="79">
        <v>45.05</v>
      </c>
      <c r="T38" s="79">
        <v>46.2</v>
      </c>
      <c r="U38" s="79">
        <v>51.45</v>
      </c>
      <c r="V38" s="79">
        <v>49.45</v>
      </c>
      <c r="W38" s="79">
        <v>49.95</v>
      </c>
    </row>
    <row r="39" spans="1:23" ht="7.5" customHeight="1"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</row>
    <row r="40" spans="1:2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</row>
    <row r="41" spans="1:23">
      <c r="A41" s="11" t="s">
        <v>91</v>
      </c>
      <c r="B41" s="11"/>
      <c r="C41" s="11"/>
      <c r="D41" s="11"/>
      <c r="E41" s="11"/>
      <c r="F41" s="11"/>
      <c r="G41" s="2"/>
      <c r="H41" s="2"/>
      <c r="I41" s="2"/>
      <c r="J41" s="2"/>
      <c r="K41" s="2"/>
    </row>
    <row r="42" spans="1:23">
      <c r="A42" s="11" t="s">
        <v>92</v>
      </c>
      <c r="B42" s="11"/>
      <c r="C42" s="11"/>
      <c r="D42" s="11"/>
      <c r="E42" s="11"/>
      <c r="F42" s="11"/>
      <c r="G42" s="2"/>
      <c r="H42" s="2"/>
      <c r="I42" s="2"/>
      <c r="J42" s="2"/>
      <c r="K42" s="2"/>
    </row>
    <row r="43" spans="1:23">
      <c r="A43" s="11" t="s">
        <v>35</v>
      </c>
      <c r="E43" s="11"/>
    </row>
    <row r="44" spans="1:23">
      <c r="A44" s="11" t="s">
        <v>35</v>
      </c>
      <c r="B44" s="11"/>
      <c r="E44" s="11"/>
    </row>
    <row r="45" spans="1:23">
      <c r="E45" s="11"/>
    </row>
    <row r="52" spans="12:19">
      <c r="L52" s="79"/>
      <c r="M52" s="79"/>
      <c r="N52" s="79"/>
      <c r="O52" s="79"/>
      <c r="P52" s="79"/>
      <c r="Q52" s="79"/>
      <c r="R52" s="79"/>
      <c r="S52" s="79"/>
    </row>
    <row r="53" spans="12:19">
      <c r="L53" s="11"/>
      <c r="M53" s="11"/>
      <c r="N53" s="11"/>
      <c r="O53" s="11"/>
      <c r="P53" s="11"/>
      <c r="Q53" s="11"/>
      <c r="R53" s="11"/>
      <c r="S53" s="11"/>
    </row>
    <row r="54" spans="12:19">
      <c r="L54" s="11"/>
      <c r="M54" s="11"/>
      <c r="N54" s="11"/>
      <c r="O54" s="11"/>
      <c r="P54" s="11"/>
      <c r="Q54" s="11"/>
      <c r="R54" s="11"/>
      <c r="S54" s="11"/>
    </row>
    <row r="55" spans="12:19">
      <c r="L55" s="11"/>
      <c r="M55" s="11"/>
      <c r="N55" s="11"/>
      <c r="O55" s="11"/>
      <c r="P55" s="11"/>
      <c r="Q55" s="11"/>
      <c r="R55" s="11"/>
      <c r="S55" s="11"/>
    </row>
    <row r="56" spans="12:19">
      <c r="L56" s="15"/>
      <c r="M56" s="15"/>
      <c r="N56" s="15"/>
      <c r="O56" s="15"/>
      <c r="P56" s="15"/>
      <c r="Q56" s="15"/>
      <c r="R56" s="15"/>
      <c r="S56" s="15"/>
    </row>
  </sheetData>
  <mergeCells count="1">
    <mergeCell ref="A5:E5"/>
  </mergeCells>
  <pageMargins left="0.35433070866141736" right="0" top="0.78740157480314965" bottom="0" header="0" footer="0"/>
  <pageSetup paperSize="9" scale="69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6113-9325-45EB-9B6B-E5FFEC9B512F}">
  <sheetPr>
    <pageSetUpPr fitToPage="1"/>
  </sheetPr>
  <dimension ref="A1:R49"/>
  <sheetViews>
    <sheetView workbookViewId="0">
      <selection activeCell="J26" sqref="J26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>
      <c r="A1" s="1" t="s">
        <v>133</v>
      </c>
    </row>
    <row r="2" spans="1:18">
      <c r="A2" s="1" t="s">
        <v>86</v>
      </c>
      <c r="F2" s="1" t="s">
        <v>35</v>
      </c>
    </row>
    <row r="3" spans="1:18">
      <c r="A3" s="2" t="s">
        <v>0</v>
      </c>
    </row>
    <row r="4" spans="1:18">
      <c r="G4" s="9"/>
      <c r="I4" s="9"/>
      <c r="L4" s="9"/>
      <c r="M4" s="9"/>
      <c r="N4" s="9"/>
      <c r="O4" s="9"/>
      <c r="P4" s="9"/>
      <c r="Q4" s="9"/>
    </row>
    <row r="5" spans="1:18" s="128" customFormat="1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6" t="s">
        <v>28</v>
      </c>
      <c r="N5" s="76" t="s">
        <v>29</v>
      </c>
      <c r="O5" s="76" t="s">
        <v>39</v>
      </c>
      <c r="P5" s="76" t="s">
        <v>31</v>
      </c>
      <c r="Q5" s="76" t="s">
        <v>32</v>
      </c>
      <c r="R5" s="78" t="s">
        <v>33</v>
      </c>
    </row>
    <row r="6" spans="1:18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+G9+G16</f>
        <v>360421.42700000003</v>
      </c>
      <c r="H7" s="126">
        <f t="shared" si="0"/>
        <v>364794.42700000003</v>
      </c>
      <c r="I7" s="126">
        <f t="shared" si="0"/>
        <v>373999.42700000003</v>
      </c>
      <c r="J7" s="126">
        <f t="shared" si="0"/>
        <v>376653.42700000003</v>
      </c>
      <c r="K7" s="126">
        <f t="shared" si="0"/>
        <v>409755.42700000003</v>
      </c>
      <c r="L7" s="126">
        <f t="shared" si="0"/>
        <v>413908.42700000003</v>
      </c>
      <c r="M7" s="126">
        <f t="shared" si="0"/>
        <v>425102.42700000003</v>
      </c>
      <c r="N7" s="126">
        <f t="shared" si="0"/>
        <v>441955.42700000003</v>
      </c>
      <c r="O7" s="126">
        <f t="shared" si="0"/>
        <v>459968.42700000003</v>
      </c>
      <c r="P7" s="126">
        <f t="shared" si="0"/>
        <v>506514.42700000003</v>
      </c>
      <c r="Q7" s="126">
        <f t="shared" si="0"/>
        <v>482735.42700000003</v>
      </c>
      <c r="R7" s="126">
        <f t="shared" si="0"/>
        <v>482098.42700000003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>+G11+G12+1</f>
        <v>8271.4269999999997</v>
      </c>
      <c r="H9" s="13">
        <f>+H11+H12+1</f>
        <v>8301.4269999999997</v>
      </c>
      <c r="I9" s="13">
        <f>+I11+I12</f>
        <v>8284.4269999999997</v>
      </c>
      <c r="J9" s="13">
        <f t="shared" ref="J9:O9" si="1">+J11+J12</f>
        <v>12251.427</v>
      </c>
      <c r="K9" s="13">
        <f t="shared" si="1"/>
        <v>12279.427</v>
      </c>
      <c r="L9" s="13">
        <f>+L11+L12+1</f>
        <v>12284.427</v>
      </c>
      <c r="M9" s="13">
        <f>+M11+M12+1</f>
        <v>12346.427</v>
      </c>
      <c r="N9" s="13">
        <f t="shared" si="1"/>
        <v>12330.427</v>
      </c>
      <c r="O9" s="13">
        <f t="shared" si="1"/>
        <v>12361.427</v>
      </c>
      <c r="P9" s="13">
        <f>+P11+P12+1</f>
        <v>12539.427</v>
      </c>
      <c r="Q9" s="13">
        <f>+Q11+Q12+1</f>
        <v>12439.427</v>
      </c>
      <c r="R9" s="13">
        <f>+R11+R12+1</f>
        <v>12451.427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8087</v>
      </c>
      <c r="H11" s="15">
        <v>8117</v>
      </c>
      <c r="I11" s="15">
        <v>8101</v>
      </c>
      <c r="J11" s="15">
        <v>12068</v>
      </c>
      <c r="K11" s="15">
        <v>12096</v>
      </c>
      <c r="L11" s="15">
        <v>12100</v>
      </c>
      <c r="M11" s="15">
        <v>12162</v>
      </c>
      <c r="N11" s="15">
        <v>12147</v>
      </c>
      <c r="O11" s="15">
        <v>12178</v>
      </c>
      <c r="P11" s="15">
        <v>12355</v>
      </c>
      <c r="Q11" s="15">
        <v>12255</v>
      </c>
      <c r="R11" s="15">
        <v>12267</v>
      </c>
    </row>
    <row r="12" spans="1:18">
      <c r="B12" s="2" t="s">
        <v>135</v>
      </c>
      <c r="G12" s="14">
        <f t="shared" ref="G12:R12" si="2">+SUM(G13:G14)</f>
        <v>183.42699999999999</v>
      </c>
      <c r="H12" s="14">
        <f t="shared" si="2"/>
        <v>183.42699999999999</v>
      </c>
      <c r="I12" s="14">
        <f t="shared" si="2"/>
        <v>183.42699999999999</v>
      </c>
      <c r="J12" s="14">
        <f t="shared" si="2"/>
        <v>183.42699999999999</v>
      </c>
      <c r="K12" s="14">
        <f t="shared" si="2"/>
        <v>183.42699999999999</v>
      </c>
      <c r="L12" s="14">
        <f t="shared" si="2"/>
        <v>183.42699999999999</v>
      </c>
      <c r="M12" s="14">
        <f t="shared" si="2"/>
        <v>183.42699999999999</v>
      </c>
      <c r="N12" s="14">
        <f t="shared" si="2"/>
        <v>183.42699999999999</v>
      </c>
      <c r="O12" s="14">
        <f t="shared" si="2"/>
        <v>183.42699999999999</v>
      </c>
      <c r="P12" s="14">
        <f t="shared" si="2"/>
        <v>183.42699999999999</v>
      </c>
      <c r="Q12" s="14">
        <f t="shared" si="2"/>
        <v>183.42699999999999</v>
      </c>
      <c r="R12" s="14">
        <f t="shared" si="2"/>
        <v>183.42699999999999</v>
      </c>
    </row>
    <row r="13" spans="1:18">
      <c r="C13" s="2" t="s">
        <v>13</v>
      </c>
      <c r="G13" s="15">
        <v>36.826000000000001</v>
      </c>
      <c r="H13" s="15">
        <v>36.826000000000001</v>
      </c>
      <c r="I13" s="15">
        <v>36.826000000000001</v>
      </c>
      <c r="J13" s="15">
        <v>36.826000000000001</v>
      </c>
      <c r="K13" s="15">
        <v>36.826000000000001</v>
      </c>
      <c r="L13" s="15">
        <v>36.826000000000001</v>
      </c>
      <c r="M13" s="15">
        <v>36.826000000000001</v>
      </c>
      <c r="N13" s="15">
        <v>36.826000000000001</v>
      </c>
      <c r="O13" s="15">
        <v>36.826000000000001</v>
      </c>
      <c r="P13" s="15">
        <v>36.826000000000001</v>
      </c>
      <c r="Q13" s="15">
        <v>36.826000000000001</v>
      </c>
      <c r="R13" s="15">
        <v>36.826000000000001</v>
      </c>
    </row>
    <row r="14" spans="1:18">
      <c r="C14" s="2" t="s">
        <v>15</v>
      </c>
      <c r="G14" s="15">
        <v>146.601</v>
      </c>
      <c r="H14" s="15">
        <v>146.601</v>
      </c>
      <c r="I14" s="15">
        <v>146.601</v>
      </c>
      <c r="J14" s="15">
        <v>146.601</v>
      </c>
      <c r="K14" s="15">
        <v>146.601</v>
      </c>
      <c r="L14" s="15">
        <v>146.601</v>
      </c>
      <c r="M14" s="15">
        <v>146.601</v>
      </c>
      <c r="N14" s="15">
        <v>146.601</v>
      </c>
      <c r="O14" s="15">
        <v>146.601</v>
      </c>
      <c r="P14" s="15">
        <v>146.601</v>
      </c>
      <c r="Q14" s="15">
        <v>146.601</v>
      </c>
      <c r="R14" s="15">
        <v>146.601</v>
      </c>
    </row>
    <row r="15" spans="1:18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" t="s">
        <v>136</v>
      </c>
      <c r="B16" s="1"/>
      <c r="C16" s="1"/>
      <c r="D16" s="1"/>
      <c r="E16" s="1"/>
      <c r="F16" s="1"/>
      <c r="G16" s="13">
        <f t="shared" ref="G16:R16" si="3">+G18+G19</f>
        <v>352150</v>
      </c>
      <c r="H16" s="13">
        <f t="shared" si="3"/>
        <v>356493</v>
      </c>
      <c r="I16" s="13">
        <f t="shared" si="3"/>
        <v>365715</v>
      </c>
      <c r="J16" s="13">
        <f t="shared" si="3"/>
        <v>364402</v>
      </c>
      <c r="K16" s="13">
        <f t="shared" si="3"/>
        <v>397476</v>
      </c>
      <c r="L16" s="13">
        <f t="shared" si="3"/>
        <v>401624</v>
      </c>
      <c r="M16" s="13">
        <f t="shared" si="3"/>
        <v>412756</v>
      </c>
      <c r="N16" s="13">
        <f t="shared" si="3"/>
        <v>429625</v>
      </c>
      <c r="O16" s="13">
        <f t="shared" si="3"/>
        <v>447607</v>
      </c>
      <c r="P16" s="13">
        <f t="shared" si="3"/>
        <v>493975</v>
      </c>
      <c r="Q16" s="13">
        <f t="shared" si="3"/>
        <v>470296</v>
      </c>
      <c r="R16" s="13">
        <f t="shared" si="3"/>
        <v>469647</v>
      </c>
    </row>
    <row r="17" spans="1:18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B18" s="2" t="s">
        <v>134</v>
      </c>
      <c r="G18" s="15">
        <v>332414</v>
      </c>
      <c r="H18" s="15">
        <v>336761</v>
      </c>
      <c r="I18" s="15">
        <v>345522</v>
      </c>
      <c r="J18" s="15">
        <v>344382</v>
      </c>
      <c r="K18" s="15">
        <v>377471</v>
      </c>
      <c r="L18" s="15">
        <v>382672</v>
      </c>
      <c r="M18" s="15">
        <v>394636</v>
      </c>
      <c r="N18" s="15">
        <v>411250</v>
      </c>
      <c r="O18" s="15">
        <v>428922</v>
      </c>
      <c r="P18" s="15">
        <v>473440</v>
      </c>
      <c r="Q18" s="15">
        <v>450631</v>
      </c>
      <c r="R18" s="15">
        <v>449963</v>
      </c>
    </row>
    <row r="19" spans="1:18">
      <c r="B19" s="2" t="s">
        <v>135</v>
      </c>
      <c r="G19" s="14">
        <f t="shared" ref="G19:R19" si="4">+SUM(G20:G23)</f>
        <v>19736</v>
      </c>
      <c r="H19" s="14">
        <f t="shared" si="4"/>
        <v>19732</v>
      </c>
      <c r="I19" s="14">
        <f t="shared" si="4"/>
        <v>20193</v>
      </c>
      <c r="J19" s="14">
        <f t="shared" si="4"/>
        <v>20020</v>
      </c>
      <c r="K19" s="14">
        <f t="shared" si="4"/>
        <v>20005</v>
      </c>
      <c r="L19" s="14">
        <f t="shared" si="4"/>
        <v>18952</v>
      </c>
      <c r="M19" s="14">
        <f t="shared" si="4"/>
        <v>18120</v>
      </c>
      <c r="N19" s="14">
        <f t="shared" si="4"/>
        <v>18375</v>
      </c>
      <c r="O19" s="14">
        <f t="shared" si="4"/>
        <v>18685</v>
      </c>
      <c r="P19" s="14">
        <f>+SUM(P20:P23)+1</f>
        <v>20535</v>
      </c>
      <c r="Q19" s="14">
        <f t="shared" si="4"/>
        <v>19665</v>
      </c>
      <c r="R19" s="14">
        <f t="shared" si="4"/>
        <v>19684</v>
      </c>
    </row>
    <row r="20" spans="1:18">
      <c r="C20" s="2" t="s">
        <v>12</v>
      </c>
      <c r="G20" s="15">
        <v>6469</v>
      </c>
      <c r="H20" s="15">
        <v>6514</v>
      </c>
      <c r="I20" s="15">
        <v>6598</v>
      </c>
      <c r="J20" s="15">
        <v>6611</v>
      </c>
      <c r="K20" s="15">
        <v>6050</v>
      </c>
      <c r="L20" s="15">
        <v>6095</v>
      </c>
      <c r="M20" s="15">
        <v>6109</v>
      </c>
      <c r="N20" s="15">
        <v>6172</v>
      </c>
      <c r="O20" s="15">
        <v>6311</v>
      </c>
      <c r="P20" s="15">
        <v>7002</v>
      </c>
      <c r="Q20" s="15">
        <v>6710</v>
      </c>
      <c r="R20" s="15">
        <v>6720</v>
      </c>
    </row>
    <row r="21" spans="1:18">
      <c r="C21" s="2" t="s">
        <v>13</v>
      </c>
      <c r="G21" s="15">
        <v>12691</v>
      </c>
      <c r="H21" s="15">
        <v>12639</v>
      </c>
      <c r="I21" s="15">
        <v>13010</v>
      </c>
      <c r="J21" s="15">
        <v>12832</v>
      </c>
      <c r="K21" s="15">
        <v>13353</v>
      </c>
      <c r="L21" s="15">
        <v>12311</v>
      </c>
      <c r="M21" s="15">
        <v>11487</v>
      </c>
      <c r="N21" s="15">
        <v>11680</v>
      </c>
      <c r="O21" s="15">
        <v>11842</v>
      </c>
      <c r="P21" s="15">
        <v>12948</v>
      </c>
      <c r="Q21" s="15">
        <v>12391</v>
      </c>
      <c r="R21" s="15">
        <v>12386</v>
      </c>
    </row>
    <row r="22" spans="1:18">
      <c r="C22" s="2" t="s">
        <v>21</v>
      </c>
      <c r="G22" s="15">
        <v>274</v>
      </c>
      <c r="H22" s="15">
        <v>277</v>
      </c>
      <c r="I22" s="15">
        <v>279</v>
      </c>
      <c r="J22" s="15">
        <v>280</v>
      </c>
      <c r="K22" s="15">
        <v>312</v>
      </c>
      <c r="L22" s="15">
        <v>291</v>
      </c>
      <c r="M22" s="15">
        <v>285</v>
      </c>
      <c r="N22" s="15">
        <v>286</v>
      </c>
      <c r="O22" s="15">
        <v>293</v>
      </c>
      <c r="P22" s="15">
        <v>326</v>
      </c>
      <c r="Q22" s="15">
        <v>314</v>
      </c>
      <c r="R22" s="15">
        <v>315</v>
      </c>
    </row>
    <row r="23" spans="1:18">
      <c r="C23" s="2" t="s">
        <v>15</v>
      </c>
      <c r="G23" s="15">
        <v>302</v>
      </c>
      <c r="H23" s="15">
        <v>302</v>
      </c>
      <c r="I23" s="15">
        <v>306</v>
      </c>
      <c r="J23" s="15">
        <v>297</v>
      </c>
      <c r="K23" s="15">
        <v>290</v>
      </c>
      <c r="L23" s="15">
        <v>255</v>
      </c>
      <c r="M23" s="15">
        <v>239</v>
      </c>
      <c r="N23" s="15">
        <v>237</v>
      </c>
      <c r="O23" s="15">
        <v>239</v>
      </c>
      <c r="P23" s="15">
        <v>258</v>
      </c>
      <c r="Q23" s="15">
        <v>250</v>
      </c>
      <c r="R23" s="15">
        <v>263</v>
      </c>
    </row>
    <row r="24" spans="1:18">
      <c r="G24" s="15"/>
    </row>
    <row r="25" spans="1:18">
      <c r="A25" s="9"/>
      <c r="B25" s="9"/>
      <c r="C25" s="9"/>
      <c r="D25" s="9"/>
      <c r="E25" s="9"/>
      <c r="F25" s="9"/>
    </row>
    <row r="26" spans="1:18">
      <c r="A26" s="2" t="s">
        <v>80</v>
      </c>
    </row>
    <row r="27" spans="1:18">
      <c r="A27" s="1"/>
    </row>
    <row r="28" spans="1:18">
      <c r="A28" s="1"/>
    </row>
    <row r="29" spans="1:18">
      <c r="A29" s="1"/>
    </row>
    <row r="30" spans="1:18">
      <c r="A30" s="1"/>
    </row>
    <row r="31" spans="1:18">
      <c r="A31" s="1"/>
    </row>
    <row r="32" spans="1:18">
      <c r="A32" s="11" t="s">
        <v>22</v>
      </c>
    </row>
    <row r="33" spans="1:7">
      <c r="A33" s="11" t="s">
        <v>68</v>
      </c>
    </row>
    <row r="34" spans="1:7">
      <c r="A34" s="11" t="s">
        <v>145</v>
      </c>
      <c r="F34" s="11"/>
    </row>
    <row r="35" spans="1:7">
      <c r="A35" s="83" t="s">
        <v>35</v>
      </c>
    </row>
    <row r="36" spans="1:7">
      <c r="F36" s="11"/>
    </row>
    <row r="37" spans="1:7">
      <c r="A37" s="11" t="s">
        <v>35</v>
      </c>
      <c r="F37" s="11"/>
    </row>
    <row r="38" spans="1:7">
      <c r="F38" s="11"/>
    </row>
    <row r="45" spans="1:7">
      <c r="G45" s="79"/>
    </row>
    <row r="46" spans="1:7">
      <c r="G46" s="11"/>
    </row>
    <row r="47" spans="1:7">
      <c r="G47" s="11"/>
    </row>
    <row r="48" spans="1:7">
      <c r="G48" s="11"/>
    </row>
    <row r="49" spans="7:7">
      <c r="G49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5">
    <pageSetUpPr fitToPage="1"/>
  </sheetPr>
  <dimension ref="A1:V56"/>
  <sheetViews>
    <sheetView workbookViewId="0">
      <selection activeCell="K22" sqref="K22"/>
    </sheetView>
  </sheetViews>
  <sheetFormatPr defaultRowHeight="16.5"/>
  <cols>
    <col min="1" max="4" width="2.28515625" style="2" customWidth="1"/>
    <col min="5" max="5" width="17.7109375" style="2" customWidth="1"/>
    <col min="6" max="6" width="10.85546875" style="15" hidden="1" customWidth="1"/>
    <col min="7" max="7" width="4.140625" style="15" hidden="1" customWidth="1"/>
    <col min="8" max="8" width="2.5703125" style="15" hidden="1" customWidth="1"/>
    <col min="9" max="9" width="4.140625" style="15" hidden="1" customWidth="1"/>
    <col min="10" max="10" width="4.85546875" style="15" hidden="1" customWidth="1"/>
    <col min="11" max="22" width="10.140625" style="2" bestFit="1" customWidth="1"/>
    <col min="23" max="256" width="9.140625" style="2"/>
    <col min="257" max="260" width="2.28515625" style="2" customWidth="1"/>
    <col min="261" max="261" width="17.7109375" style="2" customWidth="1"/>
    <col min="262" max="266" width="0" style="2" hidden="1" customWidth="1"/>
    <col min="267" max="278" width="9.7109375" style="2" customWidth="1"/>
    <col min="279" max="512" width="9.140625" style="2"/>
    <col min="513" max="516" width="2.28515625" style="2" customWidth="1"/>
    <col min="517" max="517" width="17.7109375" style="2" customWidth="1"/>
    <col min="518" max="522" width="0" style="2" hidden="1" customWidth="1"/>
    <col min="523" max="534" width="9.7109375" style="2" customWidth="1"/>
    <col min="535" max="768" width="9.140625" style="2"/>
    <col min="769" max="772" width="2.28515625" style="2" customWidth="1"/>
    <col min="773" max="773" width="17.7109375" style="2" customWidth="1"/>
    <col min="774" max="778" width="0" style="2" hidden="1" customWidth="1"/>
    <col min="779" max="790" width="9.7109375" style="2" customWidth="1"/>
    <col min="791" max="1024" width="9.140625" style="2"/>
    <col min="1025" max="1028" width="2.28515625" style="2" customWidth="1"/>
    <col min="1029" max="1029" width="17.7109375" style="2" customWidth="1"/>
    <col min="1030" max="1034" width="0" style="2" hidden="1" customWidth="1"/>
    <col min="1035" max="1046" width="9.7109375" style="2" customWidth="1"/>
    <col min="1047" max="1280" width="9.140625" style="2"/>
    <col min="1281" max="1284" width="2.28515625" style="2" customWidth="1"/>
    <col min="1285" max="1285" width="17.7109375" style="2" customWidth="1"/>
    <col min="1286" max="1290" width="0" style="2" hidden="1" customWidth="1"/>
    <col min="1291" max="1302" width="9.7109375" style="2" customWidth="1"/>
    <col min="1303" max="1536" width="9.140625" style="2"/>
    <col min="1537" max="1540" width="2.28515625" style="2" customWidth="1"/>
    <col min="1541" max="1541" width="17.7109375" style="2" customWidth="1"/>
    <col min="1542" max="1546" width="0" style="2" hidden="1" customWidth="1"/>
    <col min="1547" max="1558" width="9.7109375" style="2" customWidth="1"/>
    <col min="1559" max="1792" width="9.140625" style="2"/>
    <col min="1793" max="1796" width="2.28515625" style="2" customWidth="1"/>
    <col min="1797" max="1797" width="17.7109375" style="2" customWidth="1"/>
    <col min="1798" max="1802" width="0" style="2" hidden="1" customWidth="1"/>
    <col min="1803" max="1814" width="9.7109375" style="2" customWidth="1"/>
    <col min="1815" max="2048" width="9.140625" style="2"/>
    <col min="2049" max="2052" width="2.28515625" style="2" customWidth="1"/>
    <col min="2053" max="2053" width="17.7109375" style="2" customWidth="1"/>
    <col min="2054" max="2058" width="0" style="2" hidden="1" customWidth="1"/>
    <col min="2059" max="2070" width="9.7109375" style="2" customWidth="1"/>
    <col min="2071" max="2304" width="9.140625" style="2"/>
    <col min="2305" max="2308" width="2.28515625" style="2" customWidth="1"/>
    <col min="2309" max="2309" width="17.7109375" style="2" customWidth="1"/>
    <col min="2310" max="2314" width="0" style="2" hidden="1" customWidth="1"/>
    <col min="2315" max="2326" width="9.7109375" style="2" customWidth="1"/>
    <col min="2327" max="2560" width="9.140625" style="2"/>
    <col min="2561" max="2564" width="2.28515625" style="2" customWidth="1"/>
    <col min="2565" max="2565" width="17.7109375" style="2" customWidth="1"/>
    <col min="2566" max="2570" width="0" style="2" hidden="1" customWidth="1"/>
    <col min="2571" max="2582" width="9.7109375" style="2" customWidth="1"/>
    <col min="2583" max="2816" width="9.140625" style="2"/>
    <col min="2817" max="2820" width="2.28515625" style="2" customWidth="1"/>
    <col min="2821" max="2821" width="17.7109375" style="2" customWidth="1"/>
    <col min="2822" max="2826" width="0" style="2" hidden="1" customWidth="1"/>
    <col min="2827" max="2838" width="9.7109375" style="2" customWidth="1"/>
    <col min="2839" max="3072" width="9.140625" style="2"/>
    <col min="3073" max="3076" width="2.28515625" style="2" customWidth="1"/>
    <col min="3077" max="3077" width="17.7109375" style="2" customWidth="1"/>
    <col min="3078" max="3082" width="0" style="2" hidden="1" customWidth="1"/>
    <col min="3083" max="3094" width="9.7109375" style="2" customWidth="1"/>
    <col min="3095" max="3328" width="9.140625" style="2"/>
    <col min="3329" max="3332" width="2.28515625" style="2" customWidth="1"/>
    <col min="3333" max="3333" width="17.7109375" style="2" customWidth="1"/>
    <col min="3334" max="3338" width="0" style="2" hidden="1" customWidth="1"/>
    <col min="3339" max="3350" width="9.7109375" style="2" customWidth="1"/>
    <col min="3351" max="3584" width="9.140625" style="2"/>
    <col min="3585" max="3588" width="2.28515625" style="2" customWidth="1"/>
    <col min="3589" max="3589" width="17.7109375" style="2" customWidth="1"/>
    <col min="3590" max="3594" width="0" style="2" hidden="1" customWidth="1"/>
    <col min="3595" max="3606" width="9.7109375" style="2" customWidth="1"/>
    <col min="3607" max="3840" width="9.140625" style="2"/>
    <col min="3841" max="3844" width="2.28515625" style="2" customWidth="1"/>
    <col min="3845" max="3845" width="17.7109375" style="2" customWidth="1"/>
    <col min="3846" max="3850" width="0" style="2" hidden="1" customWidth="1"/>
    <col min="3851" max="3862" width="9.7109375" style="2" customWidth="1"/>
    <col min="3863" max="4096" width="9.140625" style="2"/>
    <col min="4097" max="4100" width="2.28515625" style="2" customWidth="1"/>
    <col min="4101" max="4101" width="17.7109375" style="2" customWidth="1"/>
    <col min="4102" max="4106" width="0" style="2" hidden="1" customWidth="1"/>
    <col min="4107" max="4118" width="9.7109375" style="2" customWidth="1"/>
    <col min="4119" max="4352" width="9.140625" style="2"/>
    <col min="4353" max="4356" width="2.28515625" style="2" customWidth="1"/>
    <col min="4357" max="4357" width="17.7109375" style="2" customWidth="1"/>
    <col min="4358" max="4362" width="0" style="2" hidden="1" customWidth="1"/>
    <col min="4363" max="4374" width="9.7109375" style="2" customWidth="1"/>
    <col min="4375" max="4608" width="9.140625" style="2"/>
    <col min="4609" max="4612" width="2.28515625" style="2" customWidth="1"/>
    <col min="4613" max="4613" width="17.7109375" style="2" customWidth="1"/>
    <col min="4614" max="4618" width="0" style="2" hidden="1" customWidth="1"/>
    <col min="4619" max="4630" width="9.7109375" style="2" customWidth="1"/>
    <col min="4631" max="4864" width="9.140625" style="2"/>
    <col min="4865" max="4868" width="2.28515625" style="2" customWidth="1"/>
    <col min="4869" max="4869" width="17.7109375" style="2" customWidth="1"/>
    <col min="4870" max="4874" width="0" style="2" hidden="1" customWidth="1"/>
    <col min="4875" max="4886" width="9.7109375" style="2" customWidth="1"/>
    <col min="4887" max="5120" width="9.140625" style="2"/>
    <col min="5121" max="5124" width="2.28515625" style="2" customWidth="1"/>
    <col min="5125" max="5125" width="17.7109375" style="2" customWidth="1"/>
    <col min="5126" max="5130" width="0" style="2" hidden="1" customWidth="1"/>
    <col min="5131" max="5142" width="9.7109375" style="2" customWidth="1"/>
    <col min="5143" max="5376" width="9.140625" style="2"/>
    <col min="5377" max="5380" width="2.28515625" style="2" customWidth="1"/>
    <col min="5381" max="5381" width="17.7109375" style="2" customWidth="1"/>
    <col min="5382" max="5386" width="0" style="2" hidden="1" customWidth="1"/>
    <col min="5387" max="5398" width="9.7109375" style="2" customWidth="1"/>
    <col min="5399" max="5632" width="9.140625" style="2"/>
    <col min="5633" max="5636" width="2.28515625" style="2" customWidth="1"/>
    <col min="5637" max="5637" width="17.7109375" style="2" customWidth="1"/>
    <col min="5638" max="5642" width="0" style="2" hidden="1" customWidth="1"/>
    <col min="5643" max="5654" width="9.7109375" style="2" customWidth="1"/>
    <col min="5655" max="5888" width="9.140625" style="2"/>
    <col min="5889" max="5892" width="2.28515625" style="2" customWidth="1"/>
    <col min="5893" max="5893" width="17.7109375" style="2" customWidth="1"/>
    <col min="5894" max="5898" width="0" style="2" hidden="1" customWidth="1"/>
    <col min="5899" max="5910" width="9.7109375" style="2" customWidth="1"/>
    <col min="5911" max="6144" width="9.140625" style="2"/>
    <col min="6145" max="6148" width="2.28515625" style="2" customWidth="1"/>
    <col min="6149" max="6149" width="17.7109375" style="2" customWidth="1"/>
    <col min="6150" max="6154" width="0" style="2" hidden="1" customWidth="1"/>
    <col min="6155" max="6166" width="9.7109375" style="2" customWidth="1"/>
    <col min="6167" max="6400" width="9.140625" style="2"/>
    <col min="6401" max="6404" width="2.28515625" style="2" customWidth="1"/>
    <col min="6405" max="6405" width="17.7109375" style="2" customWidth="1"/>
    <col min="6406" max="6410" width="0" style="2" hidden="1" customWidth="1"/>
    <col min="6411" max="6422" width="9.7109375" style="2" customWidth="1"/>
    <col min="6423" max="6656" width="9.140625" style="2"/>
    <col min="6657" max="6660" width="2.28515625" style="2" customWidth="1"/>
    <col min="6661" max="6661" width="17.7109375" style="2" customWidth="1"/>
    <col min="6662" max="6666" width="0" style="2" hidden="1" customWidth="1"/>
    <col min="6667" max="6678" width="9.7109375" style="2" customWidth="1"/>
    <col min="6679" max="6912" width="9.140625" style="2"/>
    <col min="6913" max="6916" width="2.28515625" style="2" customWidth="1"/>
    <col min="6917" max="6917" width="17.7109375" style="2" customWidth="1"/>
    <col min="6918" max="6922" width="0" style="2" hidden="1" customWidth="1"/>
    <col min="6923" max="6934" width="9.7109375" style="2" customWidth="1"/>
    <col min="6935" max="7168" width="9.140625" style="2"/>
    <col min="7169" max="7172" width="2.28515625" style="2" customWidth="1"/>
    <col min="7173" max="7173" width="17.7109375" style="2" customWidth="1"/>
    <col min="7174" max="7178" width="0" style="2" hidden="1" customWidth="1"/>
    <col min="7179" max="7190" width="9.7109375" style="2" customWidth="1"/>
    <col min="7191" max="7424" width="9.140625" style="2"/>
    <col min="7425" max="7428" width="2.28515625" style="2" customWidth="1"/>
    <col min="7429" max="7429" width="17.7109375" style="2" customWidth="1"/>
    <col min="7430" max="7434" width="0" style="2" hidden="1" customWidth="1"/>
    <col min="7435" max="7446" width="9.7109375" style="2" customWidth="1"/>
    <col min="7447" max="7680" width="9.140625" style="2"/>
    <col min="7681" max="7684" width="2.28515625" style="2" customWidth="1"/>
    <col min="7685" max="7685" width="17.7109375" style="2" customWidth="1"/>
    <col min="7686" max="7690" width="0" style="2" hidden="1" customWidth="1"/>
    <col min="7691" max="7702" width="9.7109375" style="2" customWidth="1"/>
    <col min="7703" max="7936" width="9.140625" style="2"/>
    <col min="7937" max="7940" width="2.28515625" style="2" customWidth="1"/>
    <col min="7941" max="7941" width="17.7109375" style="2" customWidth="1"/>
    <col min="7942" max="7946" width="0" style="2" hidden="1" customWidth="1"/>
    <col min="7947" max="7958" width="9.7109375" style="2" customWidth="1"/>
    <col min="7959" max="8192" width="9.140625" style="2"/>
    <col min="8193" max="8196" width="2.28515625" style="2" customWidth="1"/>
    <col min="8197" max="8197" width="17.7109375" style="2" customWidth="1"/>
    <col min="8198" max="8202" width="0" style="2" hidden="1" customWidth="1"/>
    <col min="8203" max="8214" width="9.7109375" style="2" customWidth="1"/>
    <col min="8215" max="8448" width="9.140625" style="2"/>
    <col min="8449" max="8452" width="2.28515625" style="2" customWidth="1"/>
    <col min="8453" max="8453" width="17.7109375" style="2" customWidth="1"/>
    <col min="8454" max="8458" width="0" style="2" hidden="1" customWidth="1"/>
    <col min="8459" max="8470" width="9.7109375" style="2" customWidth="1"/>
    <col min="8471" max="8704" width="9.140625" style="2"/>
    <col min="8705" max="8708" width="2.28515625" style="2" customWidth="1"/>
    <col min="8709" max="8709" width="17.7109375" style="2" customWidth="1"/>
    <col min="8710" max="8714" width="0" style="2" hidden="1" customWidth="1"/>
    <col min="8715" max="8726" width="9.7109375" style="2" customWidth="1"/>
    <col min="8727" max="8960" width="9.140625" style="2"/>
    <col min="8961" max="8964" width="2.28515625" style="2" customWidth="1"/>
    <col min="8965" max="8965" width="17.7109375" style="2" customWidth="1"/>
    <col min="8966" max="8970" width="0" style="2" hidden="1" customWidth="1"/>
    <col min="8971" max="8982" width="9.7109375" style="2" customWidth="1"/>
    <col min="8983" max="9216" width="9.140625" style="2"/>
    <col min="9217" max="9220" width="2.28515625" style="2" customWidth="1"/>
    <col min="9221" max="9221" width="17.7109375" style="2" customWidth="1"/>
    <col min="9222" max="9226" width="0" style="2" hidden="1" customWidth="1"/>
    <col min="9227" max="9238" width="9.7109375" style="2" customWidth="1"/>
    <col min="9239" max="9472" width="9.140625" style="2"/>
    <col min="9473" max="9476" width="2.28515625" style="2" customWidth="1"/>
    <col min="9477" max="9477" width="17.7109375" style="2" customWidth="1"/>
    <col min="9478" max="9482" width="0" style="2" hidden="1" customWidth="1"/>
    <col min="9483" max="9494" width="9.7109375" style="2" customWidth="1"/>
    <col min="9495" max="9728" width="9.140625" style="2"/>
    <col min="9729" max="9732" width="2.28515625" style="2" customWidth="1"/>
    <col min="9733" max="9733" width="17.7109375" style="2" customWidth="1"/>
    <col min="9734" max="9738" width="0" style="2" hidden="1" customWidth="1"/>
    <col min="9739" max="9750" width="9.7109375" style="2" customWidth="1"/>
    <col min="9751" max="9984" width="9.140625" style="2"/>
    <col min="9985" max="9988" width="2.28515625" style="2" customWidth="1"/>
    <col min="9989" max="9989" width="17.7109375" style="2" customWidth="1"/>
    <col min="9990" max="9994" width="0" style="2" hidden="1" customWidth="1"/>
    <col min="9995" max="10006" width="9.7109375" style="2" customWidth="1"/>
    <col min="10007" max="10240" width="9.140625" style="2"/>
    <col min="10241" max="10244" width="2.28515625" style="2" customWidth="1"/>
    <col min="10245" max="10245" width="17.7109375" style="2" customWidth="1"/>
    <col min="10246" max="10250" width="0" style="2" hidden="1" customWidth="1"/>
    <col min="10251" max="10262" width="9.7109375" style="2" customWidth="1"/>
    <col min="10263" max="10496" width="9.140625" style="2"/>
    <col min="10497" max="10500" width="2.28515625" style="2" customWidth="1"/>
    <col min="10501" max="10501" width="17.7109375" style="2" customWidth="1"/>
    <col min="10502" max="10506" width="0" style="2" hidden="1" customWidth="1"/>
    <col min="10507" max="10518" width="9.7109375" style="2" customWidth="1"/>
    <col min="10519" max="10752" width="9.140625" style="2"/>
    <col min="10753" max="10756" width="2.28515625" style="2" customWidth="1"/>
    <col min="10757" max="10757" width="17.7109375" style="2" customWidth="1"/>
    <col min="10758" max="10762" width="0" style="2" hidden="1" customWidth="1"/>
    <col min="10763" max="10774" width="9.7109375" style="2" customWidth="1"/>
    <col min="10775" max="11008" width="9.140625" style="2"/>
    <col min="11009" max="11012" width="2.28515625" style="2" customWidth="1"/>
    <col min="11013" max="11013" width="17.7109375" style="2" customWidth="1"/>
    <col min="11014" max="11018" width="0" style="2" hidden="1" customWidth="1"/>
    <col min="11019" max="11030" width="9.7109375" style="2" customWidth="1"/>
    <col min="11031" max="11264" width="9.140625" style="2"/>
    <col min="11265" max="11268" width="2.28515625" style="2" customWidth="1"/>
    <col min="11269" max="11269" width="17.7109375" style="2" customWidth="1"/>
    <col min="11270" max="11274" width="0" style="2" hidden="1" customWidth="1"/>
    <col min="11275" max="11286" width="9.7109375" style="2" customWidth="1"/>
    <col min="11287" max="11520" width="9.140625" style="2"/>
    <col min="11521" max="11524" width="2.28515625" style="2" customWidth="1"/>
    <col min="11525" max="11525" width="17.7109375" style="2" customWidth="1"/>
    <col min="11526" max="11530" width="0" style="2" hidden="1" customWidth="1"/>
    <col min="11531" max="11542" width="9.7109375" style="2" customWidth="1"/>
    <col min="11543" max="11776" width="9.140625" style="2"/>
    <col min="11777" max="11780" width="2.28515625" style="2" customWidth="1"/>
    <col min="11781" max="11781" width="17.7109375" style="2" customWidth="1"/>
    <col min="11782" max="11786" width="0" style="2" hidden="1" customWidth="1"/>
    <col min="11787" max="11798" width="9.7109375" style="2" customWidth="1"/>
    <col min="11799" max="12032" width="9.140625" style="2"/>
    <col min="12033" max="12036" width="2.28515625" style="2" customWidth="1"/>
    <col min="12037" max="12037" width="17.7109375" style="2" customWidth="1"/>
    <col min="12038" max="12042" width="0" style="2" hidden="1" customWidth="1"/>
    <col min="12043" max="12054" width="9.7109375" style="2" customWidth="1"/>
    <col min="12055" max="12288" width="9.140625" style="2"/>
    <col min="12289" max="12292" width="2.28515625" style="2" customWidth="1"/>
    <col min="12293" max="12293" width="17.7109375" style="2" customWidth="1"/>
    <col min="12294" max="12298" width="0" style="2" hidden="1" customWidth="1"/>
    <col min="12299" max="12310" width="9.7109375" style="2" customWidth="1"/>
    <col min="12311" max="12544" width="9.140625" style="2"/>
    <col min="12545" max="12548" width="2.28515625" style="2" customWidth="1"/>
    <col min="12549" max="12549" width="17.7109375" style="2" customWidth="1"/>
    <col min="12550" max="12554" width="0" style="2" hidden="1" customWidth="1"/>
    <col min="12555" max="12566" width="9.7109375" style="2" customWidth="1"/>
    <col min="12567" max="12800" width="9.140625" style="2"/>
    <col min="12801" max="12804" width="2.28515625" style="2" customWidth="1"/>
    <col min="12805" max="12805" width="17.7109375" style="2" customWidth="1"/>
    <col min="12806" max="12810" width="0" style="2" hidden="1" customWidth="1"/>
    <col min="12811" max="12822" width="9.7109375" style="2" customWidth="1"/>
    <col min="12823" max="13056" width="9.140625" style="2"/>
    <col min="13057" max="13060" width="2.28515625" style="2" customWidth="1"/>
    <col min="13061" max="13061" width="17.7109375" style="2" customWidth="1"/>
    <col min="13062" max="13066" width="0" style="2" hidden="1" customWidth="1"/>
    <col min="13067" max="13078" width="9.7109375" style="2" customWidth="1"/>
    <col min="13079" max="13312" width="9.140625" style="2"/>
    <col min="13313" max="13316" width="2.28515625" style="2" customWidth="1"/>
    <col min="13317" max="13317" width="17.7109375" style="2" customWidth="1"/>
    <col min="13318" max="13322" width="0" style="2" hidden="1" customWidth="1"/>
    <col min="13323" max="13334" width="9.7109375" style="2" customWidth="1"/>
    <col min="13335" max="13568" width="9.140625" style="2"/>
    <col min="13569" max="13572" width="2.28515625" style="2" customWidth="1"/>
    <col min="13573" max="13573" width="17.7109375" style="2" customWidth="1"/>
    <col min="13574" max="13578" width="0" style="2" hidden="1" customWidth="1"/>
    <col min="13579" max="13590" width="9.7109375" style="2" customWidth="1"/>
    <col min="13591" max="13824" width="9.140625" style="2"/>
    <col min="13825" max="13828" width="2.28515625" style="2" customWidth="1"/>
    <col min="13829" max="13829" width="17.7109375" style="2" customWidth="1"/>
    <col min="13830" max="13834" width="0" style="2" hidden="1" customWidth="1"/>
    <col min="13835" max="13846" width="9.7109375" style="2" customWidth="1"/>
    <col min="13847" max="14080" width="9.140625" style="2"/>
    <col min="14081" max="14084" width="2.28515625" style="2" customWidth="1"/>
    <col min="14085" max="14085" width="17.7109375" style="2" customWidth="1"/>
    <col min="14086" max="14090" width="0" style="2" hidden="1" customWidth="1"/>
    <col min="14091" max="14102" width="9.7109375" style="2" customWidth="1"/>
    <col min="14103" max="14336" width="9.140625" style="2"/>
    <col min="14337" max="14340" width="2.28515625" style="2" customWidth="1"/>
    <col min="14341" max="14341" width="17.7109375" style="2" customWidth="1"/>
    <col min="14342" max="14346" width="0" style="2" hidden="1" customWidth="1"/>
    <col min="14347" max="14358" width="9.7109375" style="2" customWidth="1"/>
    <col min="14359" max="14592" width="9.140625" style="2"/>
    <col min="14593" max="14596" width="2.28515625" style="2" customWidth="1"/>
    <col min="14597" max="14597" width="17.7109375" style="2" customWidth="1"/>
    <col min="14598" max="14602" width="0" style="2" hidden="1" customWidth="1"/>
    <col min="14603" max="14614" width="9.7109375" style="2" customWidth="1"/>
    <col min="14615" max="14848" width="9.140625" style="2"/>
    <col min="14849" max="14852" width="2.28515625" style="2" customWidth="1"/>
    <col min="14853" max="14853" width="17.7109375" style="2" customWidth="1"/>
    <col min="14854" max="14858" width="0" style="2" hidden="1" customWidth="1"/>
    <col min="14859" max="14870" width="9.7109375" style="2" customWidth="1"/>
    <col min="14871" max="15104" width="9.140625" style="2"/>
    <col min="15105" max="15108" width="2.28515625" style="2" customWidth="1"/>
    <col min="15109" max="15109" width="17.7109375" style="2" customWidth="1"/>
    <col min="15110" max="15114" width="0" style="2" hidden="1" customWidth="1"/>
    <col min="15115" max="15126" width="9.7109375" style="2" customWidth="1"/>
    <col min="15127" max="15360" width="9.140625" style="2"/>
    <col min="15361" max="15364" width="2.28515625" style="2" customWidth="1"/>
    <col min="15365" max="15365" width="17.7109375" style="2" customWidth="1"/>
    <col min="15366" max="15370" width="0" style="2" hidden="1" customWidth="1"/>
    <col min="15371" max="15382" width="9.7109375" style="2" customWidth="1"/>
    <col min="15383" max="15616" width="9.140625" style="2"/>
    <col min="15617" max="15620" width="2.28515625" style="2" customWidth="1"/>
    <col min="15621" max="15621" width="17.7109375" style="2" customWidth="1"/>
    <col min="15622" max="15626" width="0" style="2" hidden="1" customWidth="1"/>
    <col min="15627" max="15638" width="9.7109375" style="2" customWidth="1"/>
    <col min="15639" max="15872" width="9.140625" style="2"/>
    <col min="15873" max="15876" width="2.28515625" style="2" customWidth="1"/>
    <col min="15877" max="15877" width="17.7109375" style="2" customWidth="1"/>
    <col min="15878" max="15882" width="0" style="2" hidden="1" customWidth="1"/>
    <col min="15883" max="15894" width="9.7109375" style="2" customWidth="1"/>
    <col min="15895" max="16128" width="9.140625" style="2"/>
    <col min="16129" max="16132" width="2.28515625" style="2" customWidth="1"/>
    <col min="16133" max="16133" width="17.7109375" style="2" customWidth="1"/>
    <col min="16134" max="16138" width="0" style="2" hidden="1" customWidth="1"/>
    <col min="16139" max="16150" width="9.7109375" style="2" customWidth="1"/>
    <col min="16151" max="16384" width="9.140625" style="2"/>
  </cols>
  <sheetData>
    <row r="1" spans="1:22">
      <c r="A1" s="1" t="s">
        <v>25</v>
      </c>
      <c r="B1" s="1"/>
    </row>
    <row r="2" spans="1:22">
      <c r="A2" s="1" t="s">
        <v>93</v>
      </c>
      <c r="B2" s="1"/>
      <c r="E2" s="1"/>
    </row>
    <row r="3" spans="1:22">
      <c r="A3" s="2" t="s">
        <v>0</v>
      </c>
    </row>
    <row r="4" spans="1:22" ht="12" customHeight="1">
      <c r="K4" s="86" t="s">
        <v>35</v>
      </c>
      <c r="L4" s="86"/>
      <c r="M4" s="86"/>
      <c r="N4" s="86"/>
      <c r="O4" s="86"/>
      <c r="P4" s="86"/>
      <c r="Q4" s="86"/>
      <c r="R4" s="86"/>
    </row>
    <row r="5" spans="1:22" ht="18" customHeight="1">
      <c r="A5" s="177" t="s">
        <v>1</v>
      </c>
      <c r="B5" s="178"/>
      <c r="C5" s="178"/>
      <c r="D5" s="178"/>
      <c r="E5" s="178"/>
      <c r="F5" s="87" t="s">
        <v>28</v>
      </c>
      <c r="G5" s="87" t="s">
        <v>29</v>
      </c>
      <c r="H5" s="87" t="s">
        <v>39</v>
      </c>
      <c r="I5" s="87" t="s">
        <v>31</v>
      </c>
      <c r="J5" s="87" t="s">
        <v>32</v>
      </c>
      <c r="K5" s="77" t="s">
        <v>5</v>
      </c>
      <c r="L5" s="77" t="s">
        <v>23</v>
      </c>
      <c r="M5" s="77" t="s">
        <v>24</v>
      </c>
      <c r="N5" s="77" t="s">
        <v>26</v>
      </c>
      <c r="O5" s="77" t="s">
        <v>27</v>
      </c>
      <c r="P5" s="77" t="s">
        <v>36</v>
      </c>
      <c r="Q5" s="77" t="s">
        <v>28</v>
      </c>
      <c r="R5" s="77" t="s">
        <v>29</v>
      </c>
      <c r="S5" s="77" t="s">
        <v>39</v>
      </c>
      <c r="T5" s="77" t="s">
        <v>31</v>
      </c>
      <c r="U5" s="77" t="s">
        <v>32</v>
      </c>
      <c r="V5" s="78" t="s">
        <v>33</v>
      </c>
    </row>
    <row r="6" spans="1:22" ht="9" customHeight="1">
      <c r="A6" s="1"/>
      <c r="B6" s="1"/>
      <c r="C6" s="1"/>
      <c r="D6" s="1"/>
      <c r="E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 t="s">
        <v>17</v>
      </c>
      <c r="B7" s="1"/>
      <c r="C7" s="1"/>
      <c r="D7" s="1"/>
      <c r="E7" s="1"/>
      <c r="K7" s="13">
        <v>1537584.8429999999</v>
      </c>
      <c r="L7" s="13">
        <v>1562956.946</v>
      </c>
      <c r="M7" s="13">
        <v>1602796.2637499999</v>
      </c>
      <c r="N7" s="13">
        <v>1606656.585</v>
      </c>
      <c r="O7" s="13">
        <v>1585073.3289999999</v>
      </c>
      <c r="P7" s="13">
        <v>1593874.149</v>
      </c>
      <c r="Q7" s="13">
        <v>1621362.3385000001</v>
      </c>
      <c r="R7" s="13">
        <v>1641904.7020999999</v>
      </c>
      <c r="S7" s="13">
        <v>1704564.3554</v>
      </c>
      <c r="T7" s="13">
        <v>1721917.4710500001</v>
      </c>
      <c r="U7" s="13">
        <v>1734764.8317</v>
      </c>
      <c r="V7" s="13">
        <v>1775355.8914999999</v>
      </c>
    </row>
    <row r="8" spans="1:22" ht="7.5" customHeight="1"/>
    <row r="9" spans="1:22">
      <c r="A9" s="1"/>
      <c r="B9" s="1" t="s">
        <v>59</v>
      </c>
      <c r="F9" s="82">
        <v>699925</v>
      </c>
      <c r="G9" s="82">
        <v>703844</v>
      </c>
      <c r="H9" s="82">
        <v>704035</v>
      </c>
      <c r="I9" s="82">
        <v>696498</v>
      </c>
      <c r="J9" s="82">
        <v>696057</v>
      </c>
      <c r="K9" s="82">
        <v>860462.01599999995</v>
      </c>
      <c r="L9" s="82">
        <v>881503</v>
      </c>
      <c r="M9" s="82">
        <v>898307</v>
      </c>
      <c r="N9" s="82">
        <v>912542.33299999998</v>
      </c>
      <c r="O9" s="82">
        <v>900636.33299999998</v>
      </c>
      <c r="P9" s="82">
        <v>912277.30700000003</v>
      </c>
      <c r="Q9" s="82">
        <v>919914.30700000003</v>
      </c>
      <c r="R9" s="82">
        <v>902958.30700000003</v>
      </c>
      <c r="S9" s="82">
        <v>927409.30700000003</v>
      </c>
      <c r="T9" s="82">
        <v>940888.30700000003</v>
      </c>
      <c r="U9" s="82">
        <v>946885.30700000003</v>
      </c>
      <c r="V9" s="82">
        <v>978403.66700000002</v>
      </c>
    </row>
    <row r="10" spans="1:22" ht="7.5" customHeight="1">
      <c r="A10" s="1"/>
      <c r="B10" s="1"/>
      <c r="C10" s="1"/>
      <c r="D10" s="1"/>
      <c r="E10" s="1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</row>
    <row r="11" spans="1:22">
      <c r="C11" s="2" t="s">
        <v>87</v>
      </c>
      <c r="F11" s="14">
        <v>699925</v>
      </c>
      <c r="G11" s="14">
        <v>703844</v>
      </c>
      <c r="H11" s="14">
        <v>704035</v>
      </c>
      <c r="I11" s="14">
        <v>696498</v>
      </c>
      <c r="J11" s="14">
        <v>696057</v>
      </c>
      <c r="K11" s="14">
        <v>836305</v>
      </c>
      <c r="L11" s="14">
        <v>857133</v>
      </c>
      <c r="M11" s="14">
        <v>874141</v>
      </c>
      <c r="N11" s="14">
        <v>888806</v>
      </c>
      <c r="O11" s="14">
        <v>876899</v>
      </c>
      <c r="P11" s="14">
        <v>890673</v>
      </c>
      <c r="Q11" s="14">
        <v>898184</v>
      </c>
      <c r="R11" s="14">
        <v>880521</v>
      </c>
      <c r="S11" s="14">
        <v>904270</v>
      </c>
      <c r="T11" s="14">
        <v>918228</v>
      </c>
      <c r="U11" s="14">
        <v>923947</v>
      </c>
      <c r="V11" s="14">
        <v>958035</v>
      </c>
    </row>
    <row r="12" spans="1:22">
      <c r="D12" s="2" t="s">
        <v>88</v>
      </c>
      <c r="F12" s="15">
        <v>699925</v>
      </c>
      <c r="G12" s="15">
        <v>703844</v>
      </c>
      <c r="H12" s="15">
        <v>704035</v>
      </c>
      <c r="I12" s="15">
        <v>696498</v>
      </c>
      <c r="J12" s="15">
        <v>696057</v>
      </c>
      <c r="K12" s="15">
        <v>797724</v>
      </c>
      <c r="L12" s="15">
        <v>818321</v>
      </c>
      <c r="M12" s="15">
        <v>835530</v>
      </c>
      <c r="N12" s="15">
        <v>850665</v>
      </c>
      <c r="O12" s="15">
        <v>838759</v>
      </c>
      <c r="P12" s="15">
        <v>852534</v>
      </c>
      <c r="Q12" s="15">
        <v>859892</v>
      </c>
      <c r="R12" s="15">
        <v>841130</v>
      </c>
      <c r="S12" s="15">
        <v>863985</v>
      </c>
      <c r="T12" s="15">
        <v>878529</v>
      </c>
      <c r="U12" s="15">
        <v>883909</v>
      </c>
      <c r="V12" s="15">
        <v>918292</v>
      </c>
    </row>
    <row r="13" spans="1:22">
      <c r="D13" s="2" t="s">
        <v>2</v>
      </c>
      <c r="K13" s="15">
        <v>38568</v>
      </c>
      <c r="L13" s="15">
        <v>38800</v>
      </c>
      <c r="M13" s="15">
        <v>38597</v>
      </c>
      <c r="N13" s="15">
        <v>38128</v>
      </c>
      <c r="O13" s="15">
        <v>38128</v>
      </c>
      <c r="P13" s="15">
        <v>38128</v>
      </c>
      <c r="Q13" s="15">
        <v>38280</v>
      </c>
      <c r="R13" s="15">
        <v>39379</v>
      </c>
      <c r="S13" s="15">
        <v>40272</v>
      </c>
      <c r="T13" s="15">
        <v>39687</v>
      </c>
      <c r="U13" s="15">
        <v>40026</v>
      </c>
      <c r="V13" s="15">
        <v>39732</v>
      </c>
    </row>
    <row r="14" spans="1:22">
      <c r="D14" s="2" t="s">
        <v>3</v>
      </c>
      <c r="K14" s="15">
        <v>13</v>
      </c>
      <c r="L14" s="15">
        <v>13</v>
      </c>
      <c r="M14" s="15">
        <v>13</v>
      </c>
      <c r="N14" s="15">
        <v>13</v>
      </c>
      <c r="O14" s="15">
        <v>13</v>
      </c>
      <c r="P14" s="15">
        <v>11</v>
      </c>
      <c r="Q14" s="15">
        <v>11</v>
      </c>
      <c r="R14" s="15">
        <v>12</v>
      </c>
      <c r="S14" s="15">
        <v>12</v>
      </c>
      <c r="T14" s="15">
        <v>12</v>
      </c>
      <c r="U14" s="15">
        <v>12</v>
      </c>
      <c r="V14" s="15">
        <v>11</v>
      </c>
    </row>
    <row r="15" spans="1:22" ht="7.5" customHeight="1"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>
      <c r="C16" s="2" t="s">
        <v>4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24157.016</v>
      </c>
      <c r="L16" s="14">
        <v>24370</v>
      </c>
      <c r="M16" s="14">
        <v>24166</v>
      </c>
      <c r="N16" s="14">
        <v>23736.332999999999</v>
      </c>
      <c r="O16" s="14">
        <v>23736.332999999999</v>
      </c>
      <c r="P16" s="14">
        <v>21604.307000000001</v>
      </c>
      <c r="Q16" s="14">
        <v>21730.307000000001</v>
      </c>
      <c r="R16" s="14">
        <v>22437.307000000001</v>
      </c>
      <c r="S16" s="14">
        <v>23139.307000000001</v>
      </c>
      <c r="T16" s="14">
        <v>22659.307000000001</v>
      </c>
      <c r="U16" s="14">
        <v>22937.307000000001</v>
      </c>
      <c r="V16" s="14">
        <v>20368.667000000001</v>
      </c>
    </row>
    <row r="17" spans="1:22">
      <c r="D17" s="2" t="s">
        <v>12</v>
      </c>
      <c r="K17" s="15">
        <v>7221.0159999999996</v>
      </c>
      <c r="L17" s="15">
        <v>7292</v>
      </c>
      <c r="M17" s="15">
        <v>7230</v>
      </c>
      <c r="N17" s="15">
        <v>7087.29</v>
      </c>
      <c r="O17" s="15">
        <v>7087.29</v>
      </c>
      <c r="P17" s="15">
        <v>6379</v>
      </c>
      <c r="Q17" s="15">
        <v>6421</v>
      </c>
      <c r="R17" s="15">
        <v>6656</v>
      </c>
      <c r="S17" s="15">
        <v>6899</v>
      </c>
      <c r="T17" s="15">
        <v>6739</v>
      </c>
      <c r="U17" s="15">
        <v>6832</v>
      </c>
      <c r="V17" s="15">
        <v>6006</v>
      </c>
    </row>
    <row r="18" spans="1:22">
      <c r="D18" s="2" t="s">
        <v>13</v>
      </c>
      <c r="K18" s="15">
        <v>16462</v>
      </c>
      <c r="L18" s="15">
        <v>16600</v>
      </c>
      <c r="M18" s="15">
        <v>16461</v>
      </c>
      <c r="N18" s="15">
        <v>16183.243</v>
      </c>
      <c r="O18" s="15">
        <v>16183.243</v>
      </c>
      <c r="P18" s="15">
        <v>14805</v>
      </c>
      <c r="Q18" s="15">
        <v>14887</v>
      </c>
      <c r="R18" s="15">
        <v>15344</v>
      </c>
      <c r="S18" s="15">
        <v>15787</v>
      </c>
      <c r="T18" s="15">
        <v>15477</v>
      </c>
      <c r="U18" s="15">
        <v>15656</v>
      </c>
      <c r="V18" s="15">
        <v>13967</v>
      </c>
    </row>
    <row r="19" spans="1:22">
      <c r="D19" s="2" t="s">
        <v>14</v>
      </c>
      <c r="K19" s="15">
        <v>468</v>
      </c>
      <c r="L19" s="15">
        <v>472</v>
      </c>
      <c r="M19" s="15">
        <v>469</v>
      </c>
      <c r="N19" s="15">
        <v>459.49299999999999</v>
      </c>
      <c r="O19" s="15">
        <v>459.49299999999999</v>
      </c>
      <c r="P19" s="15">
        <v>414</v>
      </c>
      <c r="Q19" s="15">
        <v>416</v>
      </c>
      <c r="R19" s="15">
        <v>432</v>
      </c>
      <c r="S19" s="15">
        <v>447</v>
      </c>
      <c r="T19" s="15">
        <v>437</v>
      </c>
      <c r="U19" s="15">
        <v>443</v>
      </c>
      <c r="V19" s="15">
        <v>389.36</v>
      </c>
    </row>
    <row r="20" spans="1:22">
      <c r="D20" s="2" t="s">
        <v>15</v>
      </c>
      <c r="K20" s="15">
        <v>6</v>
      </c>
      <c r="L20" s="15">
        <v>6</v>
      </c>
      <c r="M20" s="15">
        <v>6</v>
      </c>
      <c r="N20" s="15">
        <v>6.3070000000000004</v>
      </c>
      <c r="O20" s="15">
        <v>6.3070000000000004</v>
      </c>
      <c r="P20" s="15">
        <v>6.3070000000000004</v>
      </c>
      <c r="Q20" s="15">
        <v>6.3070000000000004</v>
      </c>
      <c r="R20" s="15">
        <v>6.3070000000000004</v>
      </c>
      <c r="S20" s="15">
        <v>6.3070000000000004</v>
      </c>
      <c r="T20" s="15">
        <v>6.3070000000000004</v>
      </c>
      <c r="U20" s="15">
        <v>6.3070000000000004</v>
      </c>
      <c r="V20" s="15">
        <v>6.3070000000000004</v>
      </c>
    </row>
    <row r="21" spans="1:22" ht="7.5" customHeight="1"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>
      <c r="A22" s="1"/>
      <c r="B22" s="1" t="s">
        <v>125</v>
      </c>
      <c r="C22" s="1"/>
      <c r="D22" s="1"/>
      <c r="E22" s="1"/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677122.82700000005</v>
      </c>
      <c r="L22" s="13">
        <v>681453.946</v>
      </c>
      <c r="M22" s="13">
        <v>704489.26374999993</v>
      </c>
      <c r="N22" s="13">
        <v>694114.25199999998</v>
      </c>
      <c r="O22" s="13">
        <v>684436.99600000004</v>
      </c>
      <c r="P22" s="13">
        <v>681596.84199999995</v>
      </c>
      <c r="Q22" s="13">
        <v>701448.03150000004</v>
      </c>
      <c r="R22" s="13">
        <v>738946.39509999997</v>
      </c>
      <c r="S22" s="13">
        <v>777155.04839999997</v>
      </c>
      <c r="T22" s="13">
        <v>781029.16405000002</v>
      </c>
      <c r="U22" s="13">
        <v>787879.52469999995</v>
      </c>
      <c r="V22" s="13">
        <v>796952.22450000001</v>
      </c>
    </row>
    <row r="23" spans="1:22">
      <c r="C23" s="2" t="s">
        <v>87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479960</v>
      </c>
      <c r="L23" s="14">
        <v>475396</v>
      </c>
      <c r="M23" s="14">
        <v>485305</v>
      </c>
      <c r="N23" s="14">
        <v>479201</v>
      </c>
      <c r="O23" s="14">
        <v>470062</v>
      </c>
      <c r="P23" s="14">
        <v>469565</v>
      </c>
      <c r="Q23" s="14">
        <v>486831</v>
      </c>
      <c r="R23" s="14">
        <v>516198</v>
      </c>
      <c r="S23" s="14">
        <v>545474</v>
      </c>
      <c r="T23" s="14">
        <v>538749</v>
      </c>
      <c r="U23" s="14">
        <v>542748</v>
      </c>
      <c r="V23" s="14">
        <v>541477</v>
      </c>
    </row>
    <row r="24" spans="1:22">
      <c r="D24" s="2" t="s">
        <v>2</v>
      </c>
      <c r="K24" s="15">
        <v>406256</v>
      </c>
      <c r="L24" s="15">
        <v>402736</v>
      </c>
      <c r="M24" s="15">
        <v>413740</v>
      </c>
      <c r="N24" s="15">
        <v>408927</v>
      </c>
      <c r="O24" s="15">
        <v>401286</v>
      </c>
      <c r="P24" s="15">
        <v>400467</v>
      </c>
      <c r="Q24" s="15">
        <v>414407</v>
      </c>
      <c r="R24" s="15">
        <v>438575</v>
      </c>
      <c r="S24" s="15">
        <v>463211</v>
      </c>
      <c r="T24" s="15">
        <v>456996</v>
      </c>
      <c r="U24" s="15">
        <v>460166</v>
      </c>
      <c r="V24" s="15">
        <v>458667</v>
      </c>
    </row>
    <row r="25" spans="1:22">
      <c r="D25" s="2" t="s">
        <v>3</v>
      </c>
      <c r="K25" s="15">
        <v>73704</v>
      </c>
      <c r="L25" s="15">
        <v>72660</v>
      </c>
      <c r="M25" s="15">
        <v>71565</v>
      </c>
      <c r="N25" s="15">
        <v>70274</v>
      </c>
      <c r="O25" s="15">
        <v>68776</v>
      </c>
      <c r="P25" s="15">
        <v>69098</v>
      </c>
      <c r="Q25" s="15">
        <v>72424</v>
      </c>
      <c r="R25" s="15">
        <v>77623</v>
      </c>
      <c r="S25" s="15">
        <v>82263</v>
      </c>
      <c r="T25" s="15">
        <v>81753</v>
      </c>
      <c r="U25" s="15">
        <v>82582</v>
      </c>
      <c r="V25" s="15">
        <v>82810</v>
      </c>
    </row>
    <row r="26" spans="1:22"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>
      <c r="C27" s="2" t="s">
        <v>94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15139.827000000001</v>
      </c>
      <c r="L27" s="14">
        <v>15194.946</v>
      </c>
      <c r="M27" s="14">
        <v>15065.26375</v>
      </c>
      <c r="N27" s="14">
        <v>14761.252000000002</v>
      </c>
      <c r="O27" s="14">
        <v>14737.995999999997</v>
      </c>
      <c r="P27" s="14">
        <v>13518.842000000001</v>
      </c>
      <c r="Q27" s="14">
        <v>13653.031499999999</v>
      </c>
      <c r="R27" s="14">
        <v>14179.3951</v>
      </c>
      <c r="S27" s="14">
        <v>14732.048399999998</v>
      </c>
      <c r="T27" s="14">
        <v>14404.164049999999</v>
      </c>
      <c r="U27" s="14">
        <v>14575.524700000002</v>
      </c>
      <c r="V27" s="14">
        <v>13122.2245</v>
      </c>
    </row>
    <row r="28" spans="1:22">
      <c r="D28" s="2" t="s">
        <v>12</v>
      </c>
      <c r="K28" s="15">
        <v>452.90610000000004</v>
      </c>
      <c r="L28" s="15">
        <v>456.41699999999997</v>
      </c>
      <c r="M28" s="15">
        <v>453.49124999999998</v>
      </c>
      <c r="N28" s="15">
        <v>444.714</v>
      </c>
      <c r="O28" s="15">
        <v>444.714</v>
      </c>
      <c r="P28" s="15">
        <v>391.81799999999998</v>
      </c>
      <c r="Q28" s="15">
        <v>394.39575000000002</v>
      </c>
      <c r="R28" s="15">
        <v>408.83114999999998</v>
      </c>
      <c r="S28" s="15">
        <v>423.78210000000001</v>
      </c>
      <c r="T28" s="15">
        <v>413.98665</v>
      </c>
      <c r="U28" s="15">
        <v>419.65770000000003</v>
      </c>
      <c r="V28" s="15">
        <v>358.98975000000002</v>
      </c>
    </row>
    <row r="29" spans="1:22">
      <c r="D29" s="2" t="s">
        <v>13</v>
      </c>
      <c r="K29" s="15">
        <v>2502.6129000000001</v>
      </c>
      <c r="L29" s="15">
        <v>2475.4859999999999</v>
      </c>
      <c r="M29" s="15">
        <v>2453.84375</v>
      </c>
      <c r="N29" s="15">
        <v>2411.7460000000001</v>
      </c>
      <c r="O29" s="15">
        <v>2397.4960000000001</v>
      </c>
      <c r="P29" s="15">
        <v>2184.1259999999997</v>
      </c>
      <c r="Q29" s="15">
        <v>2227.79475</v>
      </c>
      <c r="R29" s="15">
        <v>2331.8164999999999</v>
      </c>
      <c r="S29" s="15">
        <v>2440.6001999999999</v>
      </c>
      <c r="T29" s="15">
        <v>2394.5459999999998</v>
      </c>
      <c r="U29" s="15">
        <v>2426.4526000000001</v>
      </c>
      <c r="V29" s="15">
        <v>2174.0635000000002</v>
      </c>
    </row>
    <row r="30" spans="1:22">
      <c r="D30" s="2" t="s">
        <v>14</v>
      </c>
      <c r="K30" s="15">
        <v>11037.781800000001</v>
      </c>
      <c r="L30" s="15">
        <v>11117.145</v>
      </c>
      <c r="M30" s="15">
        <v>11044.71875</v>
      </c>
      <c r="N30" s="15">
        <v>10833.192000000001</v>
      </c>
      <c r="O30" s="15">
        <v>10828.669999999998</v>
      </c>
      <c r="P30" s="15">
        <v>10069.164000000001</v>
      </c>
      <c r="Q30" s="15">
        <v>10144.4355</v>
      </c>
      <c r="R30" s="15">
        <v>10524.299499999999</v>
      </c>
      <c r="S30" s="15">
        <v>10916.7354</v>
      </c>
      <c r="T30" s="15">
        <v>10668.37695</v>
      </c>
      <c r="U30" s="15">
        <v>10815.251700000001</v>
      </c>
      <c r="V30" s="15">
        <v>9890.1494999999995</v>
      </c>
    </row>
    <row r="31" spans="1:22">
      <c r="D31" s="2" t="s">
        <v>15</v>
      </c>
      <c r="K31" s="15">
        <v>491.06430000000006</v>
      </c>
      <c r="L31" s="15">
        <v>493.50599999999997</v>
      </c>
      <c r="M31" s="15">
        <v>471.51</v>
      </c>
      <c r="N31" s="15">
        <v>444.59999999999997</v>
      </c>
      <c r="O31" s="15">
        <v>443.95400000000001</v>
      </c>
      <c r="P31" s="15">
        <v>438.74799999999999</v>
      </c>
      <c r="Q31" s="15">
        <v>442.97325000000001</v>
      </c>
      <c r="R31" s="15">
        <v>458.35399999999998</v>
      </c>
      <c r="S31" s="15">
        <v>475.69139999999999</v>
      </c>
      <c r="T31" s="15">
        <v>464.25445000000002</v>
      </c>
      <c r="U31" s="15">
        <v>450.71180000000004</v>
      </c>
      <c r="V31" s="15">
        <v>437.67850000000004</v>
      </c>
    </row>
    <row r="32" spans="1:22">
      <c r="D32" s="2" t="s">
        <v>16</v>
      </c>
      <c r="K32" s="15">
        <v>655.46190000000013</v>
      </c>
      <c r="L32" s="15">
        <v>652.39200000000005</v>
      </c>
      <c r="M32" s="15">
        <v>641.69999999999993</v>
      </c>
      <c r="N32" s="15">
        <v>627</v>
      </c>
      <c r="O32" s="15">
        <v>623.16200000000003</v>
      </c>
      <c r="P32" s="15">
        <v>434.98599999999999</v>
      </c>
      <c r="Q32" s="15">
        <v>443.43225000000001</v>
      </c>
      <c r="R32" s="15">
        <v>456.09395000000001</v>
      </c>
      <c r="S32" s="15">
        <v>475.23930000000001</v>
      </c>
      <c r="T32" s="15">
        <v>463</v>
      </c>
      <c r="U32" s="15">
        <v>463.45090000000005</v>
      </c>
      <c r="V32" s="15">
        <v>261.34325000000001</v>
      </c>
    </row>
    <row r="33" spans="1:22"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>
      <c r="C34" s="2" t="s">
        <v>84</v>
      </c>
      <c r="K34" s="15">
        <v>182023</v>
      </c>
      <c r="L34" s="15">
        <v>190863</v>
      </c>
      <c r="M34" s="15">
        <v>204118</v>
      </c>
      <c r="N34" s="15">
        <v>200152</v>
      </c>
      <c r="O34" s="15">
        <v>199637</v>
      </c>
      <c r="P34" s="15">
        <v>198513</v>
      </c>
      <c r="Q34" s="15">
        <v>200964</v>
      </c>
      <c r="R34" s="15">
        <v>208569</v>
      </c>
      <c r="S34" s="15">
        <v>216948</v>
      </c>
      <c r="T34" s="15">
        <v>227876</v>
      </c>
      <c r="U34" s="15">
        <v>230557</v>
      </c>
      <c r="V34" s="15">
        <v>242353</v>
      </c>
    </row>
    <row r="35" spans="1:22">
      <c r="A35" s="9"/>
      <c r="B35" s="9"/>
      <c r="C35" s="9"/>
      <c r="D35" s="9"/>
      <c r="E35" s="8"/>
      <c r="F35" s="41"/>
      <c r="G35" s="41"/>
      <c r="H35" s="41"/>
      <c r="I35" s="41"/>
      <c r="J35" s="41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>
      <c r="A36" s="2" t="s">
        <v>90</v>
      </c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</row>
    <row r="37" spans="1:22" ht="7.5" customHeight="1"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</row>
    <row r="38" spans="1:22">
      <c r="A38" s="2" t="s">
        <v>8</v>
      </c>
      <c r="F38" s="79"/>
      <c r="G38" s="79"/>
      <c r="H38" s="79"/>
      <c r="I38" s="79"/>
      <c r="J38" s="79"/>
      <c r="K38" s="79">
        <v>38.700000000000003</v>
      </c>
      <c r="L38" s="79">
        <v>39</v>
      </c>
      <c r="M38" s="79">
        <v>38.75</v>
      </c>
      <c r="N38" s="79">
        <v>38</v>
      </c>
      <c r="O38" s="79">
        <v>38</v>
      </c>
      <c r="P38" s="79">
        <v>38</v>
      </c>
      <c r="Q38" s="79">
        <v>38.25</v>
      </c>
      <c r="R38" s="79">
        <v>39.65</v>
      </c>
      <c r="S38" s="79">
        <v>41.1</v>
      </c>
      <c r="T38" s="79">
        <v>40.15</v>
      </c>
      <c r="U38" s="79">
        <v>41.7</v>
      </c>
      <c r="V38" s="79">
        <v>40.25</v>
      </c>
    </row>
    <row r="39" spans="1:22"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</row>
    <row r="40" spans="1:22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</row>
    <row r="41" spans="1:22">
      <c r="A41" s="11" t="s">
        <v>91</v>
      </c>
      <c r="B41" s="11"/>
      <c r="C41" s="11"/>
      <c r="D41" s="11"/>
      <c r="E41" s="11"/>
      <c r="F41" s="11"/>
      <c r="G41" s="2"/>
      <c r="H41" s="2"/>
      <c r="I41" s="2"/>
      <c r="J41" s="2"/>
    </row>
    <row r="42" spans="1:22">
      <c r="A42" s="11" t="s">
        <v>95</v>
      </c>
      <c r="B42" s="11"/>
      <c r="C42" s="11"/>
      <c r="D42" s="11"/>
      <c r="E42" s="11"/>
      <c r="F42" s="11"/>
      <c r="G42" s="2"/>
      <c r="H42" s="2"/>
      <c r="I42" s="2"/>
      <c r="J42" s="2"/>
    </row>
    <row r="43" spans="1:22">
      <c r="E43" s="11"/>
    </row>
    <row r="44" spans="1:22">
      <c r="A44" s="11" t="s">
        <v>35</v>
      </c>
      <c r="B44" s="11"/>
      <c r="E44" s="11"/>
    </row>
    <row r="45" spans="1:22">
      <c r="E45" s="11"/>
    </row>
    <row r="52" spans="11:18">
      <c r="K52" s="79"/>
      <c r="L52" s="79"/>
      <c r="M52" s="79"/>
      <c r="N52" s="79"/>
      <c r="O52" s="79"/>
      <c r="P52" s="79"/>
      <c r="Q52" s="79"/>
      <c r="R52" s="79"/>
    </row>
    <row r="53" spans="11:18">
      <c r="K53" s="11"/>
      <c r="L53" s="11"/>
      <c r="M53" s="11"/>
      <c r="N53" s="11"/>
      <c r="O53" s="11"/>
      <c r="P53" s="11"/>
      <c r="Q53" s="11"/>
      <c r="R53" s="11"/>
    </row>
    <row r="54" spans="11:18">
      <c r="K54" s="11"/>
      <c r="L54" s="11"/>
      <c r="M54" s="11"/>
      <c r="N54" s="11"/>
      <c r="O54" s="11"/>
      <c r="P54" s="11"/>
      <c r="Q54" s="11"/>
      <c r="R54" s="11"/>
    </row>
    <row r="55" spans="11:18">
      <c r="K55" s="11"/>
      <c r="L55" s="11"/>
      <c r="M55" s="11"/>
      <c r="N55" s="11"/>
      <c r="O55" s="11"/>
      <c r="P55" s="11"/>
      <c r="Q55" s="11"/>
      <c r="R55" s="11"/>
    </row>
    <row r="56" spans="11:18">
      <c r="K56" s="15"/>
      <c r="L56" s="15"/>
      <c r="M56" s="15"/>
      <c r="N56" s="15"/>
      <c r="O56" s="15"/>
      <c r="P56" s="15"/>
      <c r="Q56" s="15"/>
      <c r="R56" s="15"/>
    </row>
  </sheetData>
  <mergeCells count="1">
    <mergeCell ref="A5:E5"/>
  </mergeCells>
  <pageMargins left="0.35433070866141736" right="0" top="0.78740157480314965" bottom="0" header="0" footer="0"/>
  <pageSetup paperSize="9" scale="69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CE7A-D65B-479B-9D56-A0F107E1F4EF}">
  <sheetPr>
    <pageSetUpPr fitToPage="1"/>
  </sheetPr>
  <dimension ref="A1:R49"/>
  <sheetViews>
    <sheetView workbookViewId="0">
      <selection activeCell="F17" sqref="F17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>
      <c r="A1" s="1" t="s">
        <v>133</v>
      </c>
    </row>
    <row r="2" spans="1:18">
      <c r="A2" s="1" t="s">
        <v>93</v>
      </c>
      <c r="F2" s="1" t="s">
        <v>35</v>
      </c>
    </row>
    <row r="3" spans="1:18">
      <c r="A3" s="2" t="s">
        <v>0</v>
      </c>
    </row>
    <row r="4" spans="1:18">
      <c r="G4" s="9"/>
      <c r="I4" s="9"/>
      <c r="L4" s="9"/>
      <c r="M4" s="9"/>
      <c r="N4" s="9"/>
      <c r="O4" s="9"/>
      <c r="P4" s="9"/>
      <c r="Q4" s="9"/>
    </row>
    <row r="5" spans="1:18" s="128" customFormat="1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6" t="s">
        <v>28</v>
      </c>
      <c r="N5" s="76" t="s">
        <v>29</v>
      </c>
      <c r="O5" s="76" t="s">
        <v>39</v>
      </c>
      <c r="P5" s="76" t="s">
        <v>31</v>
      </c>
      <c r="Q5" s="76" t="s">
        <v>32</v>
      </c>
      <c r="R5" s="78" t="s">
        <v>33</v>
      </c>
    </row>
    <row r="6" spans="1:18" ht="9" customHeight="1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+G9+G16</f>
        <v>300927.42700000003</v>
      </c>
      <c r="H7" s="126">
        <f t="shared" si="0"/>
        <v>301397.42700000003</v>
      </c>
      <c r="I7" s="126">
        <f t="shared" si="0"/>
        <v>304912.42700000003</v>
      </c>
      <c r="J7" s="126">
        <f t="shared" si="0"/>
        <v>302570.42700000003</v>
      </c>
      <c r="K7" s="126">
        <f t="shared" si="0"/>
        <v>308072.42700000003</v>
      </c>
      <c r="L7" s="126">
        <f t="shared" si="0"/>
        <v>307070.42700000003</v>
      </c>
      <c r="M7" s="126">
        <f t="shared" si="0"/>
        <v>314582.42700000003</v>
      </c>
      <c r="N7" s="126">
        <f t="shared" si="0"/>
        <v>332596.42700000003</v>
      </c>
      <c r="O7" s="126">
        <f t="shared" si="0"/>
        <v>349641.42700000003</v>
      </c>
      <c r="P7" s="126">
        <f t="shared" si="0"/>
        <v>334119.42700000003</v>
      </c>
      <c r="Q7" s="126">
        <f t="shared" si="0"/>
        <v>329767.42700000003</v>
      </c>
      <c r="R7" s="126">
        <f t="shared" si="0"/>
        <v>366864.42700000003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>+G11+G12+1</f>
        <v>8677.4269999999997</v>
      </c>
      <c r="H9" s="13">
        <f>+H11+H12</f>
        <v>8660.4269999999997</v>
      </c>
      <c r="I9" s="13">
        <f>+I11+I12+1</f>
        <v>9477.4269999999997</v>
      </c>
      <c r="J9" s="13">
        <f>+J11+J12</f>
        <v>9429.4269999999997</v>
      </c>
      <c r="K9" s="13">
        <f>+K11+K12</f>
        <v>14413.427</v>
      </c>
      <c r="L9" s="13">
        <f>+L11+L12</f>
        <v>14784.427</v>
      </c>
      <c r="M9" s="13">
        <f>+M11+M12</f>
        <v>14794.427</v>
      </c>
      <c r="N9" s="13">
        <f>+N11+N12+1</f>
        <v>14833.427</v>
      </c>
      <c r="O9" s="13">
        <f>+O11+O12+1</f>
        <v>15316.427</v>
      </c>
      <c r="P9" s="13">
        <f>+P11+P12</f>
        <v>8414.4269999999997</v>
      </c>
      <c r="Q9" s="13">
        <f>+Q11+Q12</f>
        <v>8376.4269999999997</v>
      </c>
      <c r="R9" s="13">
        <f>+R11+R12</f>
        <v>8320.4269999999997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8493</v>
      </c>
      <c r="H11" s="15">
        <v>8477</v>
      </c>
      <c r="I11" s="15">
        <v>9293</v>
      </c>
      <c r="J11" s="15">
        <v>9246</v>
      </c>
      <c r="K11" s="15">
        <v>14230</v>
      </c>
      <c r="L11" s="15">
        <v>14601</v>
      </c>
      <c r="M11" s="15">
        <v>14611</v>
      </c>
      <c r="N11" s="15">
        <v>14649</v>
      </c>
      <c r="O11" s="15">
        <v>15132</v>
      </c>
      <c r="P11" s="15">
        <v>8231</v>
      </c>
      <c r="Q11" s="15">
        <v>8193</v>
      </c>
      <c r="R11" s="15">
        <v>8137</v>
      </c>
    </row>
    <row r="12" spans="1:18">
      <c r="B12" s="2" t="s">
        <v>135</v>
      </c>
      <c r="G12" s="14">
        <f t="shared" ref="G12:R12" si="1">+SUM(G13:G14)</f>
        <v>183.42699999999999</v>
      </c>
      <c r="H12" s="14">
        <f t="shared" si="1"/>
        <v>183.42699999999999</v>
      </c>
      <c r="I12" s="14">
        <f t="shared" si="1"/>
        <v>183.42699999999999</v>
      </c>
      <c r="J12" s="14">
        <f t="shared" si="1"/>
        <v>183.42699999999999</v>
      </c>
      <c r="K12" s="14">
        <f t="shared" si="1"/>
        <v>183.42699999999999</v>
      </c>
      <c r="L12" s="14">
        <f t="shared" si="1"/>
        <v>183.42699999999999</v>
      </c>
      <c r="M12" s="14">
        <f t="shared" si="1"/>
        <v>183.42699999999999</v>
      </c>
      <c r="N12" s="14">
        <f t="shared" si="1"/>
        <v>183.42699999999999</v>
      </c>
      <c r="O12" s="14">
        <f t="shared" si="1"/>
        <v>183.42699999999999</v>
      </c>
      <c r="P12" s="14">
        <f t="shared" si="1"/>
        <v>183.42699999999999</v>
      </c>
      <c r="Q12" s="14">
        <f t="shared" si="1"/>
        <v>183.42699999999999</v>
      </c>
      <c r="R12" s="14">
        <f t="shared" si="1"/>
        <v>183.42699999999999</v>
      </c>
    </row>
    <row r="13" spans="1:18">
      <c r="C13" s="2" t="s">
        <v>13</v>
      </c>
      <c r="G13" s="15">
        <v>36.826000000000001</v>
      </c>
      <c r="H13" s="15">
        <v>36.826000000000001</v>
      </c>
      <c r="I13" s="15">
        <v>36.826000000000001</v>
      </c>
      <c r="J13" s="15">
        <v>36.826000000000001</v>
      </c>
      <c r="K13" s="15">
        <v>36.826000000000001</v>
      </c>
      <c r="L13" s="15">
        <v>36.826000000000001</v>
      </c>
      <c r="M13" s="15">
        <v>36.826000000000001</v>
      </c>
      <c r="N13" s="15">
        <v>36.826000000000001</v>
      </c>
      <c r="O13" s="15">
        <v>36.826000000000001</v>
      </c>
      <c r="P13" s="15">
        <v>36.826000000000001</v>
      </c>
      <c r="Q13" s="15">
        <v>36.826000000000001</v>
      </c>
      <c r="R13" s="15">
        <v>36.826000000000001</v>
      </c>
    </row>
    <row r="14" spans="1:18">
      <c r="C14" s="2" t="s">
        <v>15</v>
      </c>
      <c r="G14" s="15">
        <v>146.601</v>
      </c>
      <c r="H14" s="15">
        <v>146.601</v>
      </c>
      <c r="I14" s="15">
        <v>146.601</v>
      </c>
      <c r="J14" s="15">
        <v>146.601</v>
      </c>
      <c r="K14" s="15">
        <v>146.601</v>
      </c>
      <c r="L14" s="15">
        <v>146.601</v>
      </c>
      <c r="M14" s="15">
        <v>146.601</v>
      </c>
      <c r="N14" s="15">
        <v>146.601</v>
      </c>
      <c r="O14" s="15">
        <v>146.601</v>
      </c>
      <c r="P14" s="15">
        <v>146.601</v>
      </c>
      <c r="Q14" s="15">
        <v>146.601</v>
      </c>
      <c r="R14" s="15">
        <v>146.601</v>
      </c>
    </row>
    <row r="15" spans="1:18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" t="s">
        <v>136</v>
      </c>
      <c r="B16" s="1"/>
      <c r="C16" s="1"/>
      <c r="D16" s="1"/>
      <c r="E16" s="1"/>
      <c r="F16" s="1"/>
      <c r="G16" s="13">
        <f t="shared" ref="G16:R16" si="2">+G18+G19</f>
        <v>292250</v>
      </c>
      <c r="H16" s="13">
        <f t="shared" si="2"/>
        <v>292737</v>
      </c>
      <c r="I16" s="13">
        <f t="shared" si="2"/>
        <v>295435</v>
      </c>
      <c r="J16" s="13">
        <f t="shared" si="2"/>
        <v>293141</v>
      </c>
      <c r="K16" s="13">
        <f>+K18+K19</f>
        <v>293659</v>
      </c>
      <c r="L16" s="13">
        <f t="shared" si="2"/>
        <v>292286</v>
      </c>
      <c r="M16" s="13">
        <f t="shared" si="2"/>
        <v>299788</v>
      </c>
      <c r="N16" s="13">
        <f t="shared" si="2"/>
        <v>317763</v>
      </c>
      <c r="O16" s="13">
        <f t="shared" si="2"/>
        <v>334325</v>
      </c>
      <c r="P16" s="13">
        <f t="shared" si="2"/>
        <v>325705</v>
      </c>
      <c r="Q16" s="13">
        <f t="shared" si="2"/>
        <v>321391</v>
      </c>
      <c r="R16" s="13">
        <f t="shared" si="2"/>
        <v>358544</v>
      </c>
    </row>
    <row r="17" spans="1:18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B18" s="2" t="s">
        <v>134</v>
      </c>
      <c r="G18" s="15">
        <v>269950</v>
      </c>
      <c r="H18" s="15">
        <v>270781</v>
      </c>
      <c r="I18" s="15">
        <v>273789</v>
      </c>
      <c r="J18" s="15">
        <v>271852</v>
      </c>
      <c r="K18" s="15">
        <v>272669</v>
      </c>
      <c r="L18" s="15">
        <v>272465</v>
      </c>
      <c r="M18" s="15">
        <v>279219</v>
      </c>
      <c r="N18" s="15">
        <v>296070</v>
      </c>
      <c r="O18" s="15">
        <v>311643</v>
      </c>
      <c r="P18" s="15">
        <v>303380</v>
      </c>
      <c r="Q18" s="15">
        <v>298845</v>
      </c>
      <c r="R18" s="15">
        <v>338276</v>
      </c>
    </row>
    <row r="19" spans="1:18">
      <c r="B19" s="2" t="s">
        <v>135</v>
      </c>
      <c r="G19" s="14">
        <f t="shared" ref="G19:L19" si="3">+SUM(G20:G23)</f>
        <v>22300</v>
      </c>
      <c r="H19" s="14">
        <f t="shared" si="3"/>
        <v>21956</v>
      </c>
      <c r="I19" s="14">
        <f t="shared" si="3"/>
        <v>21646</v>
      </c>
      <c r="J19" s="14">
        <f t="shared" si="3"/>
        <v>21289</v>
      </c>
      <c r="K19" s="14">
        <f>+SUM(K20:K23)+1</f>
        <v>20990</v>
      </c>
      <c r="L19" s="14">
        <f t="shared" si="3"/>
        <v>19821</v>
      </c>
      <c r="M19" s="14">
        <f>+SUM(M20:M23)+1</f>
        <v>20569</v>
      </c>
      <c r="N19" s="14">
        <f>+SUM(N20:N23)</f>
        <v>21693</v>
      </c>
      <c r="O19" s="14">
        <f>+SUM(O20:O23)+1</f>
        <v>22682</v>
      </c>
      <c r="P19" s="14">
        <f>+SUM(P20:P23)+1</f>
        <v>22325</v>
      </c>
      <c r="Q19" s="14">
        <f>+SUM(Q20:Q23)-1</f>
        <v>22546</v>
      </c>
      <c r="R19" s="14">
        <f>+SUM(R20:R23)</f>
        <v>20268</v>
      </c>
    </row>
    <row r="20" spans="1:18">
      <c r="C20" s="2" t="s">
        <v>12</v>
      </c>
      <c r="G20" s="15">
        <v>7328</v>
      </c>
      <c r="H20" s="15">
        <v>7283</v>
      </c>
      <c r="I20" s="15">
        <v>7231</v>
      </c>
      <c r="J20" s="15">
        <v>7091</v>
      </c>
      <c r="K20" s="15">
        <v>7059</v>
      </c>
      <c r="L20" s="15">
        <v>7027</v>
      </c>
      <c r="M20" s="15">
        <v>7142</v>
      </c>
      <c r="N20" s="15">
        <v>7459</v>
      </c>
      <c r="O20" s="15">
        <v>7517</v>
      </c>
      <c r="P20" s="15">
        <v>7369</v>
      </c>
      <c r="Q20" s="15">
        <v>7472</v>
      </c>
      <c r="R20" s="15">
        <v>6520</v>
      </c>
    </row>
    <row r="21" spans="1:18">
      <c r="C21" s="2" t="s">
        <v>13</v>
      </c>
      <c r="G21" s="15">
        <v>14284</v>
      </c>
      <c r="H21" s="15">
        <v>13993</v>
      </c>
      <c r="I21" s="15">
        <v>13746</v>
      </c>
      <c r="J21" s="15">
        <v>13542</v>
      </c>
      <c r="K21" s="15">
        <v>13282</v>
      </c>
      <c r="L21" s="15">
        <v>12202</v>
      </c>
      <c r="M21" s="15">
        <v>12816</v>
      </c>
      <c r="N21" s="15">
        <v>13600</v>
      </c>
      <c r="O21" s="15">
        <v>14498</v>
      </c>
      <c r="P21" s="15">
        <v>14303</v>
      </c>
      <c r="Q21" s="15">
        <v>14420</v>
      </c>
      <c r="R21" s="15">
        <v>13163</v>
      </c>
    </row>
    <row r="22" spans="1:18">
      <c r="C22" s="2" t="s">
        <v>21</v>
      </c>
      <c r="G22" s="15">
        <v>265</v>
      </c>
      <c r="H22" s="15">
        <v>267</v>
      </c>
      <c r="I22" s="15">
        <v>266</v>
      </c>
      <c r="J22" s="15">
        <v>261</v>
      </c>
      <c r="K22" s="15">
        <v>261</v>
      </c>
      <c r="L22" s="15">
        <v>259</v>
      </c>
      <c r="M22" s="15">
        <v>261</v>
      </c>
      <c r="N22" s="15">
        <v>270</v>
      </c>
      <c r="O22" s="15">
        <v>280</v>
      </c>
      <c r="P22" s="15">
        <v>274</v>
      </c>
      <c r="Q22" s="15">
        <v>278</v>
      </c>
      <c r="R22" s="15">
        <v>273</v>
      </c>
    </row>
    <row r="23" spans="1:18">
      <c r="C23" s="2" t="s">
        <v>15</v>
      </c>
      <c r="G23" s="15">
        <v>423</v>
      </c>
      <c r="H23" s="15">
        <v>413</v>
      </c>
      <c r="I23" s="15">
        <v>403</v>
      </c>
      <c r="J23" s="15">
        <v>395</v>
      </c>
      <c r="K23" s="15">
        <v>387</v>
      </c>
      <c r="L23" s="15">
        <v>333</v>
      </c>
      <c r="M23" s="15">
        <v>349</v>
      </c>
      <c r="N23" s="15">
        <v>364</v>
      </c>
      <c r="O23" s="15">
        <v>386</v>
      </c>
      <c r="P23" s="15">
        <v>378</v>
      </c>
      <c r="Q23" s="15">
        <v>377</v>
      </c>
      <c r="R23" s="15">
        <v>312</v>
      </c>
    </row>
    <row r="24" spans="1:18">
      <c r="G24" s="15"/>
    </row>
    <row r="25" spans="1:18">
      <c r="A25" s="9"/>
      <c r="B25" s="9"/>
      <c r="C25" s="9"/>
      <c r="D25" s="9"/>
      <c r="E25" s="9"/>
      <c r="F25" s="9"/>
    </row>
    <row r="26" spans="1:18">
      <c r="A26" s="2" t="s">
        <v>80</v>
      </c>
    </row>
    <row r="27" spans="1:18">
      <c r="A27" s="1"/>
    </row>
    <row r="28" spans="1:18">
      <c r="A28" s="1"/>
    </row>
    <row r="29" spans="1:18">
      <c r="A29" s="1"/>
    </row>
    <row r="30" spans="1:18">
      <c r="A30" s="1"/>
    </row>
    <row r="31" spans="1:18">
      <c r="A31" s="1"/>
    </row>
    <row r="32" spans="1:18">
      <c r="A32" s="11" t="s">
        <v>22</v>
      </c>
    </row>
    <row r="33" spans="1:7">
      <c r="A33" s="11" t="s">
        <v>68</v>
      </c>
    </row>
    <row r="34" spans="1:7">
      <c r="A34" s="11" t="s">
        <v>144</v>
      </c>
      <c r="F34" s="11"/>
    </row>
    <row r="35" spans="1:7">
      <c r="A35" s="83" t="s">
        <v>35</v>
      </c>
    </row>
    <row r="36" spans="1:7">
      <c r="F36" s="11"/>
    </row>
    <row r="37" spans="1:7">
      <c r="A37" s="11" t="s">
        <v>35</v>
      </c>
      <c r="F37" s="11"/>
    </row>
    <row r="38" spans="1:7">
      <c r="F38" s="11"/>
    </row>
    <row r="45" spans="1:7">
      <c r="G45" s="79"/>
    </row>
    <row r="46" spans="1:7">
      <c r="G46" s="11"/>
    </row>
    <row r="47" spans="1:7">
      <c r="G47" s="11"/>
    </row>
    <row r="48" spans="1:7">
      <c r="G48" s="11"/>
    </row>
    <row r="49" spans="7:7">
      <c r="G49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6">
    <pageSetUpPr fitToPage="1"/>
  </sheetPr>
  <dimension ref="A1:W55"/>
  <sheetViews>
    <sheetView workbookViewId="0">
      <selection activeCell="AC5" sqref="AC5"/>
    </sheetView>
  </sheetViews>
  <sheetFormatPr defaultRowHeight="16.5"/>
  <cols>
    <col min="1" max="4" width="2.28515625" style="2" customWidth="1"/>
    <col min="5" max="5" width="17.5703125" style="2" customWidth="1"/>
    <col min="6" max="6" width="10.85546875" style="15" hidden="1" customWidth="1"/>
    <col min="7" max="7" width="4.140625" style="15" hidden="1" customWidth="1"/>
    <col min="8" max="8" width="2.5703125" style="15" hidden="1" customWidth="1"/>
    <col min="9" max="9" width="4.140625" style="15" hidden="1" customWidth="1"/>
    <col min="10" max="10" width="4.85546875" style="15" hidden="1" customWidth="1"/>
    <col min="11" max="11" width="6" style="15" hidden="1" customWidth="1"/>
    <col min="12" max="23" width="10.140625" style="2" bestFit="1" customWidth="1"/>
    <col min="24" max="256" width="9.140625" style="2"/>
    <col min="257" max="260" width="2.28515625" style="2" customWidth="1"/>
    <col min="261" max="261" width="17.5703125" style="2" customWidth="1"/>
    <col min="262" max="267" width="0" style="2" hidden="1" customWidth="1"/>
    <col min="268" max="279" width="9.7109375" style="2" customWidth="1"/>
    <col min="280" max="512" width="9.140625" style="2"/>
    <col min="513" max="516" width="2.28515625" style="2" customWidth="1"/>
    <col min="517" max="517" width="17.5703125" style="2" customWidth="1"/>
    <col min="518" max="523" width="0" style="2" hidden="1" customWidth="1"/>
    <col min="524" max="535" width="9.7109375" style="2" customWidth="1"/>
    <col min="536" max="768" width="9.140625" style="2"/>
    <col min="769" max="772" width="2.28515625" style="2" customWidth="1"/>
    <col min="773" max="773" width="17.5703125" style="2" customWidth="1"/>
    <col min="774" max="779" width="0" style="2" hidden="1" customWidth="1"/>
    <col min="780" max="791" width="9.7109375" style="2" customWidth="1"/>
    <col min="792" max="1024" width="9.140625" style="2"/>
    <col min="1025" max="1028" width="2.28515625" style="2" customWidth="1"/>
    <col min="1029" max="1029" width="17.5703125" style="2" customWidth="1"/>
    <col min="1030" max="1035" width="0" style="2" hidden="1" customWidth="1"/>
    <col min="1036" max="1047" width="9.7109375" style="2" customWidth="1"/>
    <col min="1048" max="1280" width="9.140625" style="2"/>
    <col min="1281" max="1284" width="2.28515625" style="2" customWidth="1"/>
    <col min="1285" max="1285" width="17.5703125" style="2" customWidth="1"/>
    <col min="1286" max="1291" width="0" style="2" hidden="1" customWidth="1"/>
    <col min="1292" max="1303" width="9.7109375" style="2" customWidth="1"/>
    <col min="1304" max="1536" width="9.140625" style="2"/>
    <col min="1537" max="1540" width="2.28515625" style="2" customWidth="1"/>
    <col min="1541" max="1541" width="17.5703125" style="2" customWidth="1"/>
    <col min="1542" max="1547" width="0" style="2" hidden="1" customWidth="1"/>
    <col min="1548" max="1559" width="9.7109375" style="2" customWidth="1"/>
    <col min="1560" max="1792" width="9.140625" style="2"/>
    <col min="1793" max="1796" width="2.28515625" style="2" customWidth="1"/>
    <col min="1797" max="1797" width="17.5703125" style="2" customWidth="1"/>
    <col min="1798" max="1803" width="0" style="2" hidden="1" customWidth="1"/>
    <col min="1804" max="1815" width="9.7109375" style="2" customWidth="1"/>
    <col min="1816" max="2048" width="9.140625" style="2"/>
    <col min="2049" max="2052" width="2.28515625" style="2" customWidth="1"/>
    <col min="2053" max="2053" width="17.5703125" style="2" customWidth="1"/>
    <col min="2054" max="2059" width="0" style="2" hidden="1" customWidth="1"/>
    <col min="2060" max="2071" width="9.7109375" style="2" customWidth="1"/>
    <col min="2072" max="2304" width="9.140625" style="2"/>
    <col min="2305" max="2308" width="2.28515625" style="2" customWidth="1"/>
    <col min="2309" max="2309" width="17.5703125" style="2" customWidth="1"/>
    <col min="2310" max="2315" width="0" style="2" hidden="1" customWidth="1"/>
    <col min="2316" max="2327" width="9.7109375" style="2" customWidth="1"/>
    <col min="2328" max="2560" width="9.140625" style="2"/>
    <col min="2561" max="2564" width="2.28515625" style="2" customWidth="1"/>
    <col min="2565" max="2565" width="17.5703125" style="2" customWidth="1"/>
    <col min="2566" max="2571" width="0" style="2" hidden="1" customWidth="1"/>
    <col min="2572" max="2583" width="9.7109375" style="2" customWidth="1"/>
    <col min="2584" max="2816" width="9.140625" style="2"/>
    <col min="2817" max="2820" width="2.28515625" style="2" customWidth="1"/>
    <col min="2821" max="2821" width="17.5703125" style="2" customWidth="1"/>
    <col min="2822" max="2827" width="0" style="2" hidden="1" customWidth="1"/>
    <col min="2828" max="2839" width="9.7109375" style="2" customWidth="1"/>
    <col min="2840" max="3072" width="9.140625" style="2"/>
    <col min="3073" max="3076" width="2.28515625" style="2" customWidth="1"/>
    <col min="3077" max="3077" width="17.5703125" style="2" customWidth="1"/>
    <col min="3078" max="3083" width="0" style="2" hidden="1" customWidth="1"/>
    <col min="3084" max="3095" width="9.7109375" style="2" customWidth="1"/>
    <col min="3096" max="3328" width="9.140625" style="2"/>
    <col min="3329" max="3332" width="2.28515625" style="2" customWidth="1"/>
    <col min="3333" max="3333" width="17.5703125" style="2" customWidth="1"/>
    <col min="3334" max="3339" width="0" style="2" hidden="1" customWidth="1"/>
    <col min="3340" max="3351" width="9.7109375" style="2" customWidth="1"/>
    <col min="3352" max="3584" width="9.140625" style="2"/>
    <col min="3585" max="3588" width="2.28515625" style="2" customWidth="1"/>
    <col min="3589" max="3589" width="17.5703125" style="2" customWidth="1"/>
    <col min="3590" max="3595" width="0" style="2" hidden="1" customWidth="1"/>
    <col min="3596" max="3607" width="9.7109375" style="2" customWidth="1"/>
    <col min="3608" max="3840" width="9.140625" style="2"/>
    <col min="3841" max="3844" width="2.28515625" style="2" customWidth="1"/>
    <col min="3845" max="3845" width="17.5703125" style="2" customWidth="1"/>
    <col min="3846" max="3851" width="0" style="2" hidden="1" customWidth="1"/>
    <col min="3852" max="3863" width="9.7109375" style="2" customWidth="1"/>
    <col min="3864" max="4096" width="9.140625" style="2"/>
    <col min="4097" max="4100" width="2.28515625" style="2" customWidth="1"/>
    <col min="4101" max="4101" width="17.5703125" style="2" customWidth="1"/>
    <col min="4102" max="4107" width="0" style="2" hidden="1" customWidth="1"/>
    <col min="4108" max="4119" width="9.7109375" style="2" customWidth="1"/>
    <col min="4120" max="4352" width="9.140625" style="2"/>
    <col min="4353" max="4356" width="2.28515625" style="2" customWidth="1"/>
    <col min="4357" max="4357" width="17.5703125" style="2" customWidth="1"/>
    <col min="4358" max="4363" width="0" style="2" hidden="1" customWidth="1"/>
    <col min="4364" max="4375" width="9.7109375" style="2" customWidth="1"/>
    <col min="4376" max="4608" width="9.140625" style="2"/>
    <col min="4609" max="4612" width="2.28515625" style="2" customWidth="1"/>
    <col min="4613" max="4613" width="17.5703125" style="2" customWidth="1"/>
    <col min="4614" max="4619" width="0" style="2" hidden="1" customWidth="1"/>
    <col min="4620" max="4631" width="9.7109375" style="2" customWidth="1"/>
    <col min="4632" max="4864" width="9.140625" style="2"/>
    <col min="4865" max="4868" width="2.28515625" style="2" customWidth="1"/>
    <col min="4869" max="4869" width="17.5703125" style="2" customWidth="1"/>
    <col min="4870" max="4875" width="0" style="2" hidden="1" customWidth="1"/>
    <col min="4876" max="4887" width="9.7109375" style="2" customWidth="1"/>
    <col min="4888" max="5120" width="9.140625" style="2"/>
    <col min="5121" max="5124" width="2.28515625" style="2" customWidth="1"/>
    <col min="5125" max="5125" width="17.5703125" style="2" customWidth="1"/>
    <col min="5126" max="5131" width="0" style="2" hidden="1" customWidth="1"/>
    <col min="5132" max="5143" width="9.7109375" style="2" customWidth="1"/>
    <col min="5144" max="5376" width="9.140625" style="2"/>
    <col min="5377" max="5380" width="2.28515625" style="2" customWidth="1"/>
    <col min="5381" max="5381" width="17.5703125" style="2" customWidth="1"/>
    <col min="5382" max="5387" width="0" style="2" hidden="1" customWidth="1"/>
    <col min="5388" max="5399" width="9.7109375" style="2" customWidth="1"/>
    <col min="5400" max="5632" width="9.140625" style="2"/>
    <col min="5633" max="5636" width="2.28515625" style="2" customWidth="1"/>
    <col min="5637" max="5637" width="17.5703125" style="2" customWidth="1"/>
    <col min="5638" max="5643" width="0" style="2" hidden="1" customWidth="1"/>
    <col min="5644" max="5655" width="9.7109375" style="2" customWidth="1"/>
    <col min="5656" max="5888" width="9.140625" style="2"/>
    <col min="5889" max="5892" width="2.28515625" style="2" customWidth="1"/>
    <col min="5893" max="5893" width="17.5703125" style="2" customWidth="1"/>
    <col min="5894" max="5899" width="0" style="2" hidden="1" customWidth="1"/>
    <col min="5900" max="5911" width="9.7109375" style="2" customWidth="1"/>
    <col min="5912" max="6144" width="9.140625" style="2"/>
    <col min="6145" max="6148" width="2.28515625" style="2" customWidth="1"/>
    <col min="6149" max="6149" width="17.5703125" style="2" customWidth="1"/>
    <col min="6150" max="6155" width="0" style="2" hidden="1" customWidth="1"/>
    <col min="6156" max="6167" width="9.7109375" style="2" customWidth="1"/>
    <col min="6168" max="6400" width="9.140625" style="2"/>
    <col min="6401" max="6404" width="2.28515625" style="2" customWidth="1"/>
    <col min="6405" max="6405" width="17.5703125" style="2" customWidth="1"/>
    <col min="6406" max="6411" width="0" style="2" hidden="1" customWidth="1"/>
    <col min="6412" max="6423" width="9.7109375" style="2" customWidth="1"/>
    <col min="6424" max="6656" width="9.140625" style="2"/>
    <col min="6657" max="6660" width="2.28515625" style="2" customWidth="1"/>
    <col min="6661" max="6661" width="17.5703125" style="2" customWidth="1"/>
    <col min="6662" max="6667" width="0" style="2" hidden="1" customWidth="1"/>
    <col min="6668" max="6679" width="9.7109375" style="2" customWidth="1"/>
    <col min="6680" max="6912" width="9.140625" style="2"/>
    <col min="6913" max="6916" width="2.28515625" style="2" customWidth="1"/>
    <col min="6917" max="6917" width="17.5703125" style="2" customWidth="1"/>
    <col min="6918" max="6923" width="0" style="2" hidden="1" customWidth="1"/>
    <col min="6924" max="6935" width="9.7109375" style="2" customWidth="1"/>
    <col min="6936" max="7168" width="9.140625" style="2"/>
    <col min="7169" max="7172" width="2.28515625" style="2" customWidth="1"/>
    <col min="7173" max="7173" width="17.5703125" style="2" customWidth="1"/>
    <col min="7174" max="7179" width="0" style="2" hidden="1" customWidth="1"/>
    <col min="7180" max="7191" width="9.7109375" style="2" customWidth="1"/>
    <col min="7192" max="7424" width="9.140625" style="2"/>
    <col min="7425" max="7428" width="2.28515625" style="2" customWidth="1"/>
    <col min="7429" max="7429" width="17.5703125" style="2" customWidth="1"/>
    <col min="7430" max="7435" width="0" style="2" hidden="1" customWidth="1"/>
    <col min="7436" max="7447" width="9.7109375" style="2" customWidth="1"/>
    <col min="7448" max="7680" width="9.140625" style="2"/>
    <col min="7681" max="7684" width="2.28515625" style="2" customWidth="1"/>
    <col min="7685" max="7685" width="17.5703125" style="2" customWidth="1"/>
    <col min="7686" max="7691" width="0" style="2" hidden="1" customWidth="1"/>
    <col min="7692" max="7703" width="9.7109375" style="2" customWidth="1"/>
    <col min="7704" max="7936" width="9.140625" style="2"/>
    <col min="7937" max="7940" width="2.28515625" style="2" customWidth="1"/>
    <col min="7941" max="7941" width="17.5703125" style="2" customWidth="1"/>
    <col min="7942" max="7947" width="0" style="2" hidden="1" customWidth="1"/>
    <col min="7948" max="7959" width="9.7109375" style="2" customWidth="1"/>
    <col min="7960" max="8192" width="9.140625" style="2"/>
    <col min="8193" max="8196" width="2.28515625" style="2" customWidth="1"/>
    <col min="8197" max="8197" width="17.5703125" style="2" customWidth="1"/>
    <col min="8198" max="8203" width="0" style="2" hidden="1" customWidth="1"/>
    <col min="8204" max="8215" width="9.7109375" style="2" customWidth="1"/>
    <col min="8216" max="8448" width="9.140625" style="2"/>
    <col min="8449" max="8452" width="2.28515625" style="2" customWidth="1"/>
    <col min="8453" max="8453" width="17.5703125" style="2" customWidth="1"/>
    <col min="8454" max="8459" width="0" style="2" hidden="1" customWidth="1"/>
    <col min="8460" max="8471" width="9.7109375" style="2" customWidth="1"/>
    <col min="8472" max="8704" width="9.140625" style="2"/>
    <col min="8705" max="8708" width="2.28515625" style="2" customWidth="1"/>
    <col min="8709" max="8709" width="17.5703125" style="2" customWidth="1"/>
    <col min="8710" max="8715" width="0" style="2" hidden="1" customWidth="1"/>
    <col min="8716" max="8727" width="9.7109375" style="2" customWidth="1"/>
    <col min="8728" max="8960" width="9.140625" style="2"/>
    <col min="8961" max="8964" width="2.28515625" style="2" customWidth="1"/>
    <col min="8965" max="8965" width="17.5703125" style="2" customWidth="1"/>
    <col min="8966" max="8971" width="0" style="2" hidden="1" customWidth="1"/>
    <col min="8972" max="8983" width="9.7109375" style="2" customWidth="1"/>
    <col min="8984" max="9216" width="9.140625" style="2"/>
    <col min="9217" max="9220" width="2.28515625" style="2" customWidth="1"/>
    <col min="9221" max="9221" width="17.5703125" style="2" customWidth="1"/>
    <col min="9222" max="9227" width="0" style="2" hidden="1" customWidth="1"/>
    <col min="9228" max="9239" width="9.7109375" style="2" customWidth="1"/>
    <col min="9240" max="9472" width="9.140625" style="2"/>
    <col min="9473" max="9476" width="2.28515625" style="2" customWidth="1"/>
    <col min="9477" max="9477" width="17.5703125" style="2" customWidth="1"/>
    <col min="9478" max="9483" width="0" style="2" hidden="1" customWidth="1"/>
    <col min="9484" max="9495" width="9.7109375" style="2" customWidth="1"/>
    <col min="9496" max="9728" width="9.140625" style="2"/>
    <col min="9729" max="9732" width="2.28515625" style="2" customWidth="1"/>
    <col min="9733" max="9733" width="17.5703125" style="2" customWidth="1"/>
    <col min="9734" max="9739" width="0" style="2" hidden="1" customWidth="1"/>
    <col min="9740" max="9751" width="9.7109375" style="2" customWidth="1"/>
    <col min="9752" max="9984" width="9.140625" style="2"/>
    <col min="9985" max="9988" width="2.28515625" style="2" customWidth="1"/>
    <col min="9989" max="9989" width="17.5703125" style="2" customWidth="1"/>
    <col min="9990" max="9995" width="0" style="2" hidden="1" customWidth="1"/>
    <col min="9996" max="10007" width="9.7109375" style="2" customWidth="1"/>
    <col min="10008" max="10240" width="9.140625" style="2"/>
    <col min="10241" max="10244" width="2.28515625" style="2" customWidth="1"/>
    <col min="10245" max="10245" width="17.5703125" style="2" customWidth="1"/>
    <col min="10246" max="10251" width="0" style="2" hidden="1" customWidth="1"/>
    <col min="10252" max="10263" width="9.7109375" style="2" customWidth="1"/>
    <col min="10264" max="10496" width="9.140625" style="2"/>
    <col min="10497" max="10500" width="2.28515625" style="2" customWidth="1"/>
    <col min="10501" max="10501" width="17.5703125" style="2" customWidth="1"/>
    <col min="10502" max="10507" width="0" style="2" hidden="1" customWidth="1"/>
    <col min="10508" max="10519" width="9.7109375" style="2" customWidth="1"/>
    <col min="10520" max="10752" width="9.140625" style="2"/>
    <col min="10753" max="10756" width="2.28515625" style="2" customWidth="1"/>
    <col min="10757" max="10757" width="17.5703125" style="2" customWidth="1"/>
    <col min="10758" max="10763" width="0" style="2" hidden="1" customWidth="1"/>
    <col min="10764" max="10775" width="9.7109375" style="2" customWidth="1"/>
    <col min="10776" max="11008" width="9.140625" style="2"/>
    <col min="11009" max="11012" width="2.28515625" style="2" customWidth="1"/>
    <col min="11013" max="11013" width="17.5703125" style="2" customWidth="1"/>
    <col min="11014" max="11019" width="0" style="2" hidden="1" customWidth="1"/>
    <col min="11020" max="11031" width="9.7109375" style="2" customWidth="1"/>
    <col min="11032" max="11264" width="9.140625" style="2"/>
    <col min="11265" max="11268" width="2.28515625" style="2" customWidth="1"/>
    <col min="11269" max="11269" width="17.5703125" style="2" customWidth="1"/>
    <col min="11270" max="11275" width="0" style="2" hidden="1" customWidth="1"/>
    <col min="11276" max="11287" width="9.7109375" style="2" customWidth="1"/>
    <col min="11288" max="11520" width="9.140625" style="2"/>
    <col min="11521" max="11524" width="2.28515625" style="2" customWidth="1"/>
    <col min="11525" max="11525" width="17.5703125" style="2" customWidth="1"/>
    <col min="11526" max="11531" width="0" style="2" hidden="1" customWidth="1"/>
    <col min="11532" max="11543" width="9.7109375" style="2" customWidth="1"/>
    <col min="11544" max="11776" width="9.140625" style="2"/>
    <col min="11777" max="11780" width="2.28515625" style="2" customWidth="1"/>
    <col min="11781" max="11781" width="17.5703125" style="2" customWidth="1"/>
    <col min="11782" max="11787" width="0" style="2" hidden="1" customWidth="1"/>
    <col min="11788" max="11799" width="9.7109375" style="2" customWidth="1"/>
    <col min="11800" max="12032" width="9.140625" style="2"/>
    <col min="12033" max="12036" width="2.28515625" style="2" customWidth="1"/>
    <col min="12037" max="12037" width="17.5703125" style="2" customWidth="1"/>
    <col min="12038" max="12043" width="0" style="2" hidden="1" customWidth="1"/>
    <col min="12044" max="12055" width="9.7109375" style="2" customWidth="1"/>
    <col min="12056" max="12288" width="9.140625" style="2"/>
    <col min="12289" max="12292" width="2.28515625" style="2" customWidth="1"/>
    <col min="12293" max="12293" width="17.5703125" style="2" customWidth="1"/>
    <col min="12294" max="12299" width="0" style="2" hidden="1" customWidth="1"/>
    <col min="12300" max="12311" width="9.7109375" style="2" customWidth="1"/>
    <col min="12312" max="12544" width="9.140625" style="2"/>
    <col min="12545" max="12548" width="2.28515625" style="2" customWidth="1"/>
    <col min="12549" max="12549" width="17.5703125" style="2" customWidth="1"/>
    <col min="12550" max="12555" width="0" style="2" hidden="1" customWidth="1"/>
    <col min="12556" max="12567" width="9.7109375" style="2" customWidth="1"/>
    <col min="12568" max="12800" width="9.140625" style="2"/>
    <col min="12801" max="12804" width="2.28515625" style="2" customWidth="1"/>
    <col min="12805" max="12805" width="17.5703125" style="2" customWidth="1"/>
    <col min="12806" max="12811" width="0" style="2" hidden="1" customWidth="1"/>
    <col min="12812" max="12823" width="9.7109375" style="2" customWidth="1"/>
    <col min="12824" max="13056" width="9.140625" style="2"/>
    <col min="13057" max="13060" width="2.28515625" style="2" customWidth="1"/>
    <col min="13061" max="13061" width="17.5703125" style="2" customWidth="1"/>
    <col min="13062" max="13067" width="0" style="2" hidden="1" customWidth="1"/>
    <col min="13068" max="13079" width="9.7109375" style="2" customWidth="1"/>
    <col min="13080" max="13312" width="9.140625" style="2"/>
    <col min="13313" max="13316" width="2.28515625" style="2" customWidth="1"/>
    <col min="13317" max="13317" width="17.5703125" style="2" customWidth="1"/>
    <col min="13318" max="13323" width="0" style="2" hidden="1" customWidth="1"/>
    <col min="13324" max="13335" width="9.7109375" style="2" customWidth="1"/>
    <col min="13336" max="13568" width="9.140625" style="2"/>
    <col min="13569" max="13572" width="2.28515625" style="2" customWidth="1"/>
    <col min="13573" max="13573" width="17.5703125" style="2" customWidth="1"/>
    <col min="13574" max="13579" width="0" style="2" hidden="1" customWidth="1"/>
    <col min="13580" max="13591" width="9.7109375" style="2" customWidth="1"/>
    <col min="13592" max="13824" width="9.140625" style="2"/>
    <col min="13825" max="13828" width="2.28515625" style="2" customWidth="1"/>
    <col min="13829" max="13829" width="17.5703125" style="2" customWidth="1"/>
    <col min="13830" max="13835" width="0" style="2" hidden="1" customWidth="1"/>
    <col min="13836" max="13847" width="9.7109375" style="2" customWidth="1"/>
    <col min="13848" max="14080" width="9.140625" style="2"/>
    <col min="14081" max="14084" width="2.28515625" style="2" customWidth="1"/>
    <col min="14085" max="14085" width="17.5703125" style="2" customWidth="1"/>
    <col min="14086" max="14091" width="0" style="2" hidden="1" customWidth="1"/>
    <col min="14092" max="14103" width="9.7109375" style="2" customWidth="1"/>
    <col min="14104" max="14336" width="9.140625" style="2"/>
    <col min="14337" max="14340" width="2.28515625" style="2" customWidth="1"/>
    <col min="14341" max="14341" width="17.5703125" style="2" customWidth="1"/>
    <col min="14342" max="14347" width="0" style="2" hidden="1" customWidth="1"/>
    <col min="14348" max="14359" width="9.7109375" style="2" customWidth="1"/>
    <col min="14360" max="14592" width="9.140625" style="2"/>
    <col min="14593" max="14596" width="2.28515625" style="2" customWidth="1"/>
    <col min="14597" max="14597" width="17.5703125" style="2" customWidth="1"/>
    <col min="14598" max="14603" width="0" style="2" hidden="1" customWidth="1"/>
    <col min="14604" max="14615" width="9.7109375" style="2" customWidth="1"/>
    <col min="14616" max="14848" width="9.140625" style="2"/>
    <col min="14849" max="14852" width="2.28515625" style="2" customWidth="1"/>
    <col min="14853" max="14853" width="17.5703125" style="2" customWidth="1"/>
    <col min="14854" max="14859" width="0" style="2" hidden="1" customWidth="1"/>
    <col min="14860" max="14871" width="9.7109375" style="2" customWidth="1"/>
    <col min="14872" max="15104" width="9.140625" style="2"/>
    <col min="15105" max="15108" width="2.28515625" style="2" customWidth="1"/>
    <col min="15109" max="15109" width="17.5703125" style="2" customWidth="1"/>
    <col min="15110" max="15115" width="0" style="2" hidden="1" customWidth="1"/>
    <col min="15116" max="15127" width="9.7109375" style="2" customWidth="1"/>
    <col min="15128" max="15360" width="9.140625" style="2"/>
    <col min="15361" max="15364" width="2.28515625" style="2" customWidth="1"/>
    <col min="15365" max="15365" width="17.5703125" style="2" customWidth="1"/>
    <col min="15366" max="15371" width="0" style="2" hidden="1" customWidth="1"/>
    <col min="15372" max="15383" width="9.7109375" style="2" customWidth="1"/>
    <col min="15384" max="15616" width="9.140625" style="2"/>
    <col min="15617" max="15620" width="2.28515625" style="2" customWidth="1"/>
    <col min="15621" max="15621" width="17.5703125" style="2" customWidth="1"/>
    <col min="15622" max="15627" width="0" style="2" hidden="1" customWidth="1"/>
    <col min="15628" max="15639" width="9.7109375" style="2" customWidth="1"/>
    <col min="15640" max="15872" width="9.140625" style="2"/>
    <col min="15873" max="15876" width="2.28515625" style="2" customWidth="1"/>
    <col min="15877" max="15877" width="17.5703125" style="2" customWidth="1"/>
    <col min="15878" max="15883" width="0" style="2" hidden="1" customWidth="1"/>
    <col min="15884" max="15895" width="9.7109375" style="2" customWidth="1"/>
    <col min="15896" max="16128" width="9.140625" style="2"/>
    <col min="16129" max="16132" width="2.28515625" style="2" customWidth="1"/>
    <col min="16133" max="16133" width="17.5703125" style="2" customWidth="1"/>
    <col min="16134" max="16139" width="0" style="2" hidden="1" customWidth="1"/>
    <col min="16140" max="16151" width="9.7109375" style="2" customWidth="1"/>
    <col min="16152" max="16384" width="9.140625" style="2"/>
  </cols>
  <sheetData>
    <row r="1" spans="1:23">
      <c r="A1" s="1" t="s">
        <v>25</v>
      </c>
      <c r="B1" s="1"/>
    </row>
    <row r="2" spans="1:23">
      <c r="A2" s="1" t="s">
        <v>96</v>
      </c>
      <c r="B2" s="1"/>
      <c r="E2" s="1"/>
    </row>
    <row r="3" spans="1:23">
      <c r="A3" s="2" t="s">
        <v>0</v>
      </c>
    </row>
    <row r="4" spans="1:23" ht="12" customHeight="1">
      <c r="L4" s="86"/>
    </row>
    <row r="5" spans="1:23" ht="18" customHeight="1">
      <c r="A5" s="177" t="s">
        <v>1</v>
      </c>
      <c r="B5" s="178"/>
      <c r="C5" s="178"/>
      <c r="D5" s="178"/>
      <c r="E5" s="178"/>
      <c r="F5" s="87" t="s">
        <v>28</v>
      </c>
      <c r="G5" s="87" t="s">
        <v>29</v>
      </c>
      <c r="H5" s="87" t="s">
        <v>39</v>
      </c>
      <c r="I5" s="87" t="s">
        <v>31</v>
      </c>
      <c r="J5" s="87" t="s">
        <v>32</v>
      </c>
      <c r="K5" s="88" t="s">
        <v>33</v>
      </c>
      <c r="L5" s="77" t="s">
        <v>5</v>
      </c>
      <c r="M5" s="77" t="s">
        <v>23</v>
      </c>
      <c r="N5" s="18" t="s">
        <v>97</v>
      </c>
      <c r="O5" s="18" t="s">
        <v>26</v>
      </c>
      <c r="P5" s="18" t="s">
        <v>27</v>
      </c>
      <c r="Q5" s="18" t="s">
        <v>36</v>
      </c>
      <c r="R5" s="18" t="s">
        <v>28</v>
      </c>
      <c r="S5" s="18" t="s">
        <v>29</v>
      </c>
      <c r="T5" s="18" t="s">
        <v>39</v>
      </c>
      <c r="U5" s="18" t="s">
        <v>31</v>
      </c>
      <c r="V5" s="18" t="s">
        <v>32</v>
      </c>
      <c r="W5" s="39" t="s">
        <v>33</v>
      </c>
    </row>
    <row r="6" spans="1:23" ht="9" customHeight="1">
      <c r="A6" s="1"/>
      <c r="B6" s="1"/>
      <c r="C6" s="1"/>
      <c r="D6" s="1"/>
      <c r="E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 t="s">
        <v>17</v>
      </c>
      <c r="E7" s="1"/>
      <c r="L7" s="13">
        <v>1401985.5825</v>
      </c>
      <c r="M7" s="13">
        <v>1365018.5432500001</v>
      </c>
      <c r="N7" s="13">
        <v>1311554.49135</v>
      </c>
      <c r="O7" s="13">
        <v>1377523.5219749999</v>
      </c>
      <c r="P7" s="13">
        <v>1370950.523</v>
      </c>
      <c r="Q7" s="13">
        <v>1420383.90925</v>
      </c>
      <c r="R7" s="13">
        <v>1427628</v>
      </c>
      <c r="S7" s="13">
        <v>1455890.1913999999</v>
      </c>
      <c r="T7" s="13">
        <v>1486414.4670000002</v>
      </c>
      <c r="U7" s="13">
        <v>1487974.9482499999</v>
      </c>
      <c r="V7" s="13">
        <v>1461038.64</v>
      </c>
      <c r="W7" s="13">
        <v>1496221.764</v>
      </c>
    </row>
    <row r="8" spans="1:23" ht="7.5" customHeight="1">
      <c r="A8" s="1"/>
      <c r="B8" s="1"/>
      <c r="C8" s="1"/>
      <c r="D8" s="1"/>
      <c r="E8" s="1"/>
    </row>
    <row r="9" spans="1:23">
      <c r="A9" s="1"/>
      <c r="B9" s="1" t="s">
        <v>59</v>
      </c>
      <c r="F9" s="2"/>
      <c r="G9" s="82">
        <v>703844</v>
      </c>
      <c r="H9" s="82">
        <v>704035</v>
      </c>
      <c r="I9" s="82">
        <v>696498</v>
      </c>
      <c r="J9" s="82">
        <v>696057</v>
      </c>
      <c r="K9" s="82">
        <v>697716</v>
      </c>
      <c r="L9" s="82">
        <v>754392</v>
      </c>
      <c r="M9" s="82">
        <v>754049</v>
      </c>
      <c r="N9" s="82">
        <v>751142</v>
      </c>
      <c r="O9" s="82">
        <v>754660</v>
      </c>
      <c r="P9" s="82">
        <v>776860</v>
      </c>
      <c r="Q9" s="82">
        <v>788463.06900000002</v>
      </c>
      <c r="R9" s="82">
        <v>799278</v>
      </c>
      <c r="S9" s="82">
        <v>796063</v>
      </c>
      <c r="T9" s="82">
        <v>813372.94200000004</v>
      </c>
      <c r="U9" s="82">
        <v>822295.13</v>
      </c>
      <c r="V9" s="82">
        <v>832966.46</v>
      </c>
      <c r="W9" s="82">
        <v>850931.05999999994</v>
      </c>
    </row>
    <row r="10" spans="1:23">
      <c r="C10" s="2" t="s">
        <v>87</v>
      </c>
      <c r="F10" s="14">
        <v>699925</v>
      </c>
      <c r="G10" s="14">
        <v>703844</v>
      </c>
      <c r="H10" s="14">
        <v>704035</v>
      </c>
      <c r="I10" s="14">
        <v>696498</v>
      </c>
      <c r="J10" s="14">
        <v>696057</v>
      </c>
      <c r="K10" s="14">
        <v>697716</v>
      </c>
      <c r="L10" s="14">
        <v>723232</v>
      </c>
      <c r="M10" s="14">
        <v>724267</v>
      </c>
      <c r="N10" s="14">
        <v>723668</v>
      </c>
      <c r="O10" s="14">
        <v>725234</v>
      </c>
      <c r="P10" s="14">
        <v>748227</v>
      </c>
      <c r="Q10" s="14">
        <v>760044.06900000002</v>
      </c>
      <c r="R10" s="14">
        <v>770905</v>
      </c>
      <c r="S10" s="14">
        <v>766543</v>
      </c>
      <c r="T10" s="14">
        <v>783892.94200000004</v>
      </c>
      <c r="U10" s="14">
        <v>794653.88</v>
      </c>
      <c r="V10" s="14">
        <v>806170.38</v>
      </c>
      <c r="W10" s="14">
        <v>826574.94</v>
      </c>
    </row>
    <row r="11" spans="1:23">
      <c r="D11" s="2" t="s">
        <v>88</v>
      </c>
      <c r="F11" s="15">
        <v>699925</v>
      </c>
      <c r="G11" s="15">
        <v>703844</v>
      </c>
      <c r="H11" s="15">
        <v>704035</v>
      </c>
      <c r="I11" s="15">
        <v>696498</v>
      </c>
      <c r="J11" s="15">
        <v>696057</v>
      </c>
      <c r="K11" s="15">
        <v>697716</v>
      </c>
      <c r="L11" s="15">
        <v>708251</v>
      </c>
      <c r="M11" s="15">
        <v>709286</v>
      </c>
      <c r="N11" s="15">
        <v>708701</v>
      </c>
      <c r="O11" s="15">
        <v>710266</v>
      </c>
      <c r="P11" s="15">
        <v>733260</v>
      </c>
      <c r="Q11" s="15">
        <v>745078</v>
      </c>
      <c r="R11" s="15">
        <v>755938</v>
      </c>
      <c r="S11" s="15">
        <v>751577</v>
      </c>
      <c r="T11" s="15">
        <v>742240</v>
      </c>
      <c r="U11" s="15">
        <v>754786</v>
      </c>
      <c r="V11" s="15">
        <v>767134</v>
      </c>
      <c r="W11" s="15">
        <v>787786</v>
      </c>
    </row>
    <row r="12" spans="1:23">
      <c r="D12" s="2" t="s">
        <v>2</v>
      </c>
      <c r="L12" s="15">
        <v>14963</v>
      </c>
      <c r="M12" s="15">
        <v>14963</v>
      </c>
      <c r="N12" s="15">
        <v>14952</v>
      </c>
      <c r="O12" s="15">
        <v>14952</v>
      </c>
      <c r="P12" s="15">
        <v>14952</v>
      </c>
      <c r="Q12" s="15">
        <v>14952</v>
      </c>
      <c r="R12" s="15">
        <v>14952</v>
      </c>
      <c r="S12" s="15">
        <v>14950</v>
      </c>
      <c r="T12" s="15">
        <v>41637</v>
      </c>
      <c r="U12" s="15">
        <v>39854</v>
      </c>
      <c r="V12" s="15">
        <v>39022</v>
      </c>
      <c r="W12" s="15">
        <v>38776</v>
      </c>
    </row>
    <row r="13" spans="1:23">
      <c r="D13" s="2" t="s">
        <v>3</v>
      </c>
      <c r="L13" s="15">
        <v>18</v>
      </c>
      <c r="M13" s="15">
        <v>17</v>
      </c>
      <c r="N13" s="15">
        <v>15</v>
      </c>
      <c r="O13" s="15">
        <v>16</v>
      </c>
      <c r="P13" s="15">
        <v>15</v>
      </c>
      <c r="Q13" s="15">
        <v>14.069000000000001</v>
      </c>
      <c r="R13" s="15">
        <v>15</v>
      </c>
      <c r="S13" s="15">
        <v>16</v>
      </c>
      <c r="T13" s="15">
        <v>15.942</v>
      </c>
      <c r="U13" s="15">
        <v>14.88</v>
      </c>
      <c r="V13" s="15">
        <v>14.38</v>
      </c>
      <c r="W13" s="15">
        <v>12.94</v>
      </c>
    </row>
    <row r="14" spans="1:23" ht="7.5" customHeight="1"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C15" s="2" t="s">
        <v>4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31160</v>
      </c>
      <c r="M15" s="14">
        <v>29782</v>
      </c>
      <c r="N15" s="14">
        <v>27474</v>
      </c>
      <c r="O15" s="14">
        <v>29426</v>
      </c>
      <c r="P15" s="14">
        <v>28633</v>
      </c>
      <c r="Q15" s="14">
        <v>28419</v>
      </c>
      <c r="R15" s="14">
        <v>28373</v>
      </c>
      <c r="S15" s="14">
        <v>29520</v>
      </c>
      <c r="T15" s="14">
        <v>29480</v>
      </c>
      <c r="U15" s="14">
        <v>27641.25</v>
      </c>
      <c r="V15" s="14">
        <v>26796.079999999998</v>
      </c>
      <c r="W15" s="14">
        <v>24355.119999999999</v>
      </c>
    </row>
    <row r="16" spans="1:23">
      <c r="D16" s="2" t="s">
        <v>12</v>
      </c>
      <c r="L16" s="15">
        <v>9492</v>
      </c>
      <c r="M16" s="15">
        <v>9034</v>
      </c>
      <c r="N16" s="15">
        <v>8299</v>
      </c>
      <c r="O16" s="15">
        <v>8948</v>
      </c>
      <c r="P16" s="15">
        <v>8706</v>
      </c>
      <c r="Q16" s="15">
        <v>8635</v>
      </c>
      <c r="R16" s="15">
        <v>8620</v>
      </c>
      <c r="S16" s="15">
        <v>9001</v>
      </c>
      <c r="T16" s="15">
        <v>8988</v>
      </c>
      <c r="U16" s="15">
        <v>8376.82</v>
      </c>
      <c r="V16" s="15">
        <v>8095.96</v>
      </c>
      <c r="W16" s="15">
        <v>7284.8</v>
      </c>
    </row>
    <row r="17" spans="1:23">
      <c r="D17" s="2" t="s">
        <v>13</v>
      </c>
      <c r="L17" s="15">
        <v>21047</v>
      </c>
      <c r="M17" s="15">
        <v>20156</v>
      </c>
      <c r="N17" s="15">
        <v>18630</v>
      </c>
      <c r="O17" s="15">
        <v>19892</v>
      </c>
      <c r="P17" s="15">
        <v>19357</v>
      </c>
      <c r="Q17" s="15">
        <v>19218</v>
      </c>
      <c r="R17" s="15">
        <v>19188</v>
      </c>
      <c r="S17" s="15">
        <v>19929</v>
      </c>
      <c r="T17" s="15">
        <v>19903</v>
      </c>
      <c r="U17" s="15">
        <v>18715.02</v>
      </c>
      <c r="V17" s="15">
        <v>18168.919999999998</v>
      </c>
      <c r="W17" s="15">
        <v>16591.71</v>
      </c>
    </row>
    <row r="18" spans="1:23">
      <c r="D18" s="2" t="s">
        <v>14</v>
      </c>
      <c r="L18" s="15">
        <v>615</v>
      </c>
      <c r="M18" s="15">
        <v>586</v>
      </c>
      <c r="N18" s="15">
        <v>538</v>
      </c>
      <c r="O18" s="15">
        <v>580</v>
      </c>
      <c r="P18" s="15">
        <v>564</v>
      </c>
      <c r="Q18" s="15">
        <v>560</v>
      </c>
      <c r="R18" s="15">
        <v>559</v>
      </c>
      <c r="S18" s="15">
        <v>584</v>
      </c>
      <c r="T18" s="15">
        <v>583</v>
      </c>
      <c r="U18" s="15">
        <v>543.1</v>
      </c>
      <c r="V18" s="15">
        <v>524.89</v>
      </c>
      <c r="W18" s="15">
        <v>472.3</v>
      </c>
    </row>
    <row r="19" spans="1:23">
      <c r="D19" s="2" t="s">
        <v>15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  <c r="R19" s="15">
        <v>6</v>
      </c>
      <c r="S19" s="15">
        <v>6</v>
      </c>
      <c r="T19" s="15">
        <v>6</v>
      </c>
      <c r="U19" s="15">
        <v>6.31</v>
      </c>
      <c r="V19" s="15">
        <v>6.31</v>
      </c>
      <c r="W19" s="15">
        <v>6.31</v>
      </c>
    </row>
    <row r="20" spans="1:23" ht="7.5" customHeight="1"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"/>
      <c r="B21" s="1" t="s">
        <v>125</v>
      </c>
      <c r="C21" s="1"/>
      <c r="D21" s="1"/>
      <c r="E21" s="1"/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647593.58250000002</v>
      </c>
      <c r="M21" s="13">
        <v>610969.54324999999</v>
      </c>
      <c r="N21" s="13">
        <v>560412.49135000003</v>
      </c>
      <c r="O21" s="13">
        <v>622863.52197499992</v>
      </c>
      <c r="P21" s="13">
        <v>594090.52300000004</v>
      </c>
      <c r="Q21" s="13">
        <v>631920.84025000001</v>
      </c>
      <c r="R21" s="13">
        <v>628350</v>
      </c>
      <c r="S21" s="13">
        <v>659827.19140000001</v>
      </c>
      <c r="T21" s="13">
        <v>673041.52500000002</v>
      </c>
      <c r="U21" s="13">
        <v>665679.81825000001</v>
      </c>
      <c r="V21" s="13">
        <v>628072.17999999993</v>
      </c>
      <c r="W21" s="13">
        <v>645290.70400000003</v>
      </c>
    </row>
    <row r="22" spans="1:23">
      <c r="C22" s="2" t="s">
        <v>9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490687</v>
      </c>
      <c r="M22" s="14">
        <v>462503</v>
      </c>
      <c r="N22" s="14">
        <v>423130</v>
      </c>
      <c r="O22" s="14">
        <v>456024</v>
      </c>
      <c r="P22" s="14">
        <v>431899</v>
      </c>
      <c r="Q22" s="14">
        <v>459841.27</v>
      </c>
      <c r="R22" s="14">
        <v>456629</v>
      </c>
      <c r="S22" s="14">
        <v>480152</v>
      </c>
      <c r="T22" s="14">
        <v>493247</v>
      </c>
      <c r="U22" s="14">
        <v>495944.44</v>
      </c>
      <c r="V22" s="14">
        <v>464860.88</v>
      </c>
      <c r="W22" s="14">
        <v>485190.76</v>
      </c>
    </row>
    <row r="23" spans="1:23">
      <c r="D23" s="2" t="s">
        <v>2</v>
      </c>
      <c r="L23" s="15">
        <v>416709</v>
      </c>
      <c r="M23" s="15">
        <v>392652</v>
      </c>
      <c r="N23" s="15">
        <v>360053</v>
      </c>
      <c r="O23" s="15">
        <v>388215</v>
      </c>
      <c r="P23" s="15">
        <v>368198</v>
      </c>
      <c r="Q23" s="15">
        <v>394134</v>
      </c>
      <c r="R23" s="15">
        <v>391231</v>
      </c>
      <c r="S23" s="15">
        <v>410496</v>
      </c>
      <c r="T23" s="15">
        <v>419228</v>
      </c>
      <c r="U23" s="15">
        <v>418350.69</v>
      </c>
      <c r="V23" s="15">
        <v>392453.68</v>
      </c>
      <c r="W23" s="15">
        <v>410089.67</v>
      </c>
    </row>
    <row r="24" spans="1:23">
      <c r="D24" s="2" t="s">
        <v>3</v>
      </c>
      <c r="L24" s="15">
        <v>73978</v>
      </c>
      <c r="M24" s="15">
        <v>69851</v>
      </c>
      <c r="N24" s="15">
        <v>63077</v>
      </c>
      <c r="O24" s="15">
        <v>67809</v>
      </c>
      <c r="P24" s="15">
        <v>63701</v>
      </c>
      <c r="Q24" s="15">
        <v>65707.27</v>
      </c>
      <c r="R24" s="15">
        <v>65398</v>
      </c>
      <c r="S24" s="15">
        <v>69656</v>
      </c>
      <c r="T24" s="15">
        <v>74019</v>
      </c>
      <c r="U24" s="15">
        <v>77592.75</v>
      </c>
      <c r="V24" s="15">
        <v>72407.199999999997</v>
      </c>
      <c r="W24" s="15">
        <v>75101.09</v>
      </c>
    </row>
    <row r="25" spans="1:23"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>
      <c r="C26" s="2" t="s">
        <v>94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19356.582499999997</v>
      </c>
      <c r="M26" s="14">
        <v>18325.543249999999</v>
      </c>
      <c r="N26" s="14">
        <v>16943.49135</v>
      </c>
      <c r="O26" s="14">
        <v>18097.521975</v>
      </c>
      <c r="P26" s="14">
        <v>17618.523000000001</v>
      </c>
      <c r="Q26" s="14">
        <v>17627.570249999997</v>
      </c>
      <c r="R26" s="14">
        <v>17604</v>
      </c>
      <c r="S26" s="14">
        <v>18417.1914</v>
      </c>
      <c r="T26" s="14">
        <v>18424.524999999998</v>
      </c>
      <c r="U26" s="14">
        <v>17326.538250000001</v>
      </c>
      <c r="V26" s="14">
        <v>16653.41</v>
      </c>
      <c r="W26" s="14">
        <v>15288.294</v>
      </c>
    </row>
    <row r="27" spans="1:23">
      <c r="D27" s="2" t="s">
        <v>12</v>
      </c>
      <c r="L27" s="15">
        <v>615.69749999999999</v>
      </c>
      <c r="M27" s="15">
        <v>583.10175000000004</v>
      </c>
      <c r="N27" s="15">
        <v>541.08945000000006</v>
      </c>
      <c r="O27" s="15">
        <v>579.11782500000004</v>
      </c>
      <c r="P27" s="15">
        <v>564.99300000000005</v>
      </c>
      <c r="Q27" s="15">
        <v>550.64475000000004</v>
      </c>
      <c r="R27" s="15">
        <v>550</v>
      </c>
      <c r="S27" s="15">
        <v>574.82659999999998</v>
      </c>
      <c r="T27" s="15">
        <v>572.90625</v>
      </c>
      <c r="U27" s="15">
        <v>534.39925000000005</v>
      </c>
      <c r="V27" s="15">
        <v>515.74599999999998</v>
      </c>
      <c r="W27" s="15">
        <v>456.88499999999993</v>
      </c>
    </row>
    <row r="28" spans="1:23">
      <c r="D28" s="2" t="s">
        <v>13</v>
      </c>
      <c r="L28" s="15">
        <v>3205.605</v>
      </c>
      <c r="M28" s="15">
        <v>3029.1747500000001</v>
      </c>
      <c r="N28" s="15">
        <v>2782.2388500000002</v>
      </c>
      <c r="O28" s="15">
        <v>2948.1962250000001</v>
      </c>
      <c r="P28" s="15">
        <v>2847.3759999999997</v>
      </c>
      <c r="Q28" s="15">
        <v>2823.7415999999998</v>
      </c>
      <c r="R28" s="15">
        <v>2815</v>
      </c>
      <c r="S28" s="15">
        <v>2951.0897</v>
      </c>
      <c r="T28" s="15">
        <v>2978.4124999999999</v>
      </c>
      <c r="U28" s="15">
        <v>2874.8965000000003</v>
      </c>
      <c r="V28" s="15">
        <v>2743.8159999999998</v>
      </c>
      <c r="W28" s="15">
        <v>2529.2684999999997</v>
      </c>
    </row>
    <row r="29" spans="1:23">
      <c r="D29" s="2" t="s">
        <v>14</v>
      </c>
      <c r="L29" s="15">
        <v>13801.789999999999</v>
      </c>
      <c r="M29" s="15">
        <v>13068.450500000001</v>
      </c>
      <c r="N29" s="15">
        <v>12117.983400000001</v>
      </c>
      <c r="O29" s="15">
        <v>12968.769450000002</v>
      </c>
      <c r="P29" s="15">
        <v>12641.148000000001</v>
      </c>
      <c r="Q29" s="15">
        <v>12786.984499999999</v>
      </c>
      <c r="R29" s="15">
        <v>12769</v>
      </c>
      <c r="S29" s="15">
        <v>13349.770500000001</v>
      </c>
      <c r="T29" s="15">
        <v>13316.625</v>
      </c>
      <c r="U29" s="15">
        <v>12460.606500000002</v>
      </c>
      <c r="V29" s="15">
        <v>12015.818000000001</v>
      </c>
      <c r="W29" s="15">
        <v>11138.2315</v>
      </c>
    </row>
    <row r="30" spans="1:23">
      <c r="D30" s="2" t="s">
        <v>15</v>
      </c>
      <c r="L30" s="15">
        <v>608.6</v>
      </c>
      <c r="M30" s="15">
        <v>576.66174999999998</v>
      </c>
      <c r="N30" s="15">
        <v>517.37220000000002</v>
      </c>
      <c r="O30" s="15">
        <v>536.62440000000004</v>
      </c>
      <c r="P30" s="15">
        <v>523.84800000000007</v>
      </c>
      <c r="Q30" s="15">
        <v>558.63424999999995</v>
      </c>
      <c r="R30" s="15">
        <v>559</v>
      </c>
      <c r="S30" s="15">
        <v>584.26509999999996</v>
      </c>
      <c r="T30" s="15">
        <v>584.9375</v>
      </c>
      <c r="U30" s="15">
        <v>546.23850000000004</v>
      </c>
      <c r="V30" s="15">
        <v>507.86599999999999</v>
      </c>
      <c r="W30" s="15">
        <v>496.32549999999998</v>
      </c>
    </row>
    <row r="31" spans="1:23">
      <c r="D31" s="2" t="s">
        <v>16</v>
      </c>
      <c r="L31" s="15">
        <v>1124.8900000000001</v>
      </c>
      <c r="M31" s="15">
        <v>1068.1545000000001</v>
      </c>
      <c r="N31" s="15">
        <v>984.80745000000002</v>
      </c>
      <c r="O31" s="15">
        <v>1064.814075</v>
      </c>
      <c r="P31" s="15">
        <v>1042.1580000000001</v>
      </c>
      <c r="Q31" s="15">
        <v>907.5651499999999</v>
      </c>
      <c r="R31" s="15">
        <v>912</v>
      </c>
      <c r="S31" s="15">
        <v>957.23949999999991</v>
      </c>
      <c r="T31" s="15">
        <v>971.64374999999995</v>
      </c>
      <c r="U31" s="15">
        <v>910.39750000000004</v>
      </c>
      <c r="V31" s="15">
        <v>869.16399999999987</v>
      </c>
      <c r="W31" s="15">
        <v>666.58349999999996</v>
      </c>
    </row>
    <row r="32" spans="1:23" ht="7.5" customHeight="1"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C33" s="2" t="s">
        <v>84</v>
      </c>
      <c r="L33" s="15">
        <v>137550</v>
      </c>
      <c r="M33" s="15">
        <v>130141</v>
      </c>
      <c r="N33" s="15">
        <v>120339</v>
      </c>
      <c r="O33" s="15">
        <v>148742</v>
      </c>
      <c r="P33" s="15">
        <v>144573</v>
      </c>
      <c r="Q33" s="15">
        <v>154452</v>
      </c>
      <c r="R33" s="15">
        <v>154117</v>
      </c>
      <c r="S33" s="15">
        <v>161258</v>
      </c>
      <c r="T33" s="15">
        <v>161370</v>
      </c>
      <c r="U33" s="15">
        <v>152408.84</v>
      </c>
      <c r="V33" s="15">
        <v>146557.89000000001</v>
      </c>
      <c r="W33" s="15">
        <v>144811.65</v>
      </c>
    </row>
    <row r="34" spans="1:23" ht="7.5" customHeight="1">
      <c r="A34" s="9"/>
      <c r="B34" s="9"/>
      <c r="C34" s="9"/>
      <c r="D34" s="9"/>
      <c r="E34" s="9"/>
    </row>
    <row r="35" spans="1:23">
      <c r="A35" s="2" t="s">
        <v>90</v>
      </c>
      <c r="F35" s="79"/>
      <c r="G35" s="79"/>
      <c r="H35" s="79"/>
      <c r="I35" s="79"/>
      <c r="J35" s="79"/>
      <c r="K35" s="79"/>
      <c r="L35" s="79"/>
      <c r="M35" s="79"/>
      <c r="N35" s="79"/>
      <c r="O35" s="79"/>
    </row>
    <row r="36" spans="1:2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</row>
    <row r="37" spans="1:23">
      <c r="A37" s="79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>
        <v>42.5</v>
      </c>
      <c r="M37" s="79">
        <v>40.25</v>
      </c>
      <c r="N37" s="79">
        <v>37.35</v>
      </c>
      <c r="O37" s="79">
        <v>39.975000000000001</v>
      </c>
      <c r="P37" s="79">
        <v>39</v>
      </c>
      <c r="Q37" s="79">
        <v>42.05</v>
      </c>
      <c r="R37" s="79">
        <v>42</v>
      </c>
      <c r="S37" s="79">
        <v>43.9</v>
      </c>
      <c r="T37" s="79">
        <v>43.75</v>
      </c>
      <c r="U37" s="79">
        <v>40.825000000000003</v>
      </c>
      <c r="V37" s="79">
        <v>39.4</v>
      </c>
      <c r="W37" s="79">
        <v>39.049999999999997</v>
      </c>
    </row>
    <row r="38" spans="1:2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</row>
    <row r="39" spans="1:2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</row>
    <row r="40" spans="1:23">
      <c r="A40" s="11" t="s">
        <v>91</v>
      </c>
      <c r="B40" s="11"/>
      <c r="C40" s="11"/>
      <c r="D40" s="11"/>
      <c r="E40" s="11"/>
      <c r="F40" s="11"/>
      <c r="G40" s="2"/>
      <c r="H40" s="2"/>
      <c r="I40" s="2"/>
      <c r="J40" s="2"/>
      <c r="K40" s="2"/>
    </row>
    <row r="41" spans="1:23">
      <c r="A41" s="11" t="s">
        <v>98</v>
      </c>
      <c r="B41" s="11"/>
      <c r="C41" s="11"/>
      <c r="D41" s="11"/>
      <c r="E41" s="11"/>
      <c r="F41" s="11"/>
      <c r="G41" s="2"/>
      <c r="H41" s="2"/>
      <c r="I41" s="2"/>
      <c r="J41" s="2"/>
      <c r="K41" s="2"/>
    </row>
    <row r="42" spans="1:23">
      <c r="E42" s="11"/>
      <c r="N42" s="11"/>
    </row>
    <row r="43" spans="1:23">
      <c r="A43" s="11" t="s">
        <v>35</v>
      </c>
      <c r="B43" s="11"/>
      <c r="E43" s="11"/>
    </row>
    <row r="44" spans="1:23">
      <c r="E44" s="11"/>
    </row>
    <row r="51" spans="12:12">
      <c r="L51" s="79"/>
    </row>
    <row r="52" spans="12:12">
      <c r="L52" s="11"/>
    </row>
    <row r="53" spans="12:12">
      <c r="L53" s="11"/>
    </row>
    <row r="54" spans="12:12">
      <c r="L54" s="11"/>
    </row>
    <row r="55" spans="12:12">
      <c r="L55" s="15"/>
    </row>
  </sheetData>
  <mergeCells count="1">
    <mergeCell ref="A5:E5"/>
  </mergeCells>
  <pageMargins left="0.35433070866141736" right="0" top="0.78740157480314965" bottom="0" header="0" footer="0"/>
  <pageSetup paperSize="9" scale="69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01AB-3980-499E-A4B2-A403A65FA2E9}">
  <sheetPr>
    <pageSetUpPr fitToPage="1"/>
  </sheetPr>
  <dimension ref="A1:R49"/>
  <sheetViews>
    <sheetView workbookViewId="0">
      <selection activeCell="F15" sqref="F15"/>
    </sheetView>
  </sheetViews>
  <sheetFormatPr defaultRowHeight="15" customHeight="1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 ht="15" customHeight="1">
      <c r="A1" s="1" t="s">
        <v>133</v>
      </c>
    </row>
    <row r="2" spans="1:18" ht="15" customHeight="1">
      <c r="A2" s="1" t="s">
        <v>96</v>
      </c>
      <c r="F2" s="1" t="s">
        <v>35</v>
      </c>
    </row>
    <row r="3" spans="1:18" ht="15" customHeight="1">
      <c r="A3" s="2" t="s">
        <v>0</v>
      </c>
    </row>
    <row r="4" spans="1:18" ht="15" customHeight="1">
      <c r="G4" s="9"/>
      <c r="I4" s="9"/>
      <c r="L4" s="9"/>
      <c r="M4" s="9"/>
      <c r="N4" s="9"/>
      <c r="O4" s="9"/>
      <c r="P4" s="9"/>
      <c r="Q4" s="9"/>
    </row>
    <row r="5" spans="1:18" s="128" customFormat="1" ht="15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6" t="s">
        <v>28</v>
      </c>
      <c r="N5" s="76" t="s">
        <v>29</v>
      </c>
      <c r="O5" s="76" t="s">
        <v>39</v>
      </c>
      <c r="P5" s="76" t="s">
        <v>31</v>
      </c>
      <c r="Q5" s="76" t="s">
        <v>32</v>
      </c>
      <c r="R5" s="78" t="s">
        <v>33</v>
      </c>
    </row>
    <row r="6" spans="1:18" ht="12" customHeight="1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 ht="15" customHeight="1">
      <c r="A7" s="1" t="s">
        <v>17</v>
      </c>
      <c r="B7" s="1"/>
      <c r="C7" s="1"/>
      <c r="D7" s="1"/>
      <c r="E7" s="1"/>
      <c r="F7" s="1"/>
      <c r="G7" s="126">
        <f t="shared" ref="G7:R7" si="0">+G9+G16</f>
        <v>286564.42700000003</v>
      </c>
      <c r="H7" s="126">
        <f t="shared" si="0"/>
        <v>272038.42700000003</v>
      </c>
      <c r="I7" s="126">
        <f t="shared" si="0"/>
        <v>253112.427</v>
      </c>
      <c r="J7" s="126">
        <f t="shared" si="0"/>
        <v>258860.427</v>
      </c>
      <c r="K7" s="126">
        <f t="shared" si="0"/>
        <v>263110.42700000003</v>
      </c>
      <c r="L7" s="126">
        <f t="shared" si="0"/>
        <v>285423.42700000003</v>
      </c>
      <c r="M7" s="126">
        <f t="shared" si="0"/>
        <v>289196.42700000003</v>
      </c>
      <c r="N7" s="126">
        <f t="shared" si="0"/>
        <v>306643.42700000003</v>
      </c>
      <c r="O7" s="126">
        <f t="shared" si="0"/>
        <v>326151.42700000003</v>
      </c>
      <c r="P7" s="126">
        <f t="shared" si="0"/>
        <v>318593.42700000003</v>
      </c>
      <c r="Q7" s="126">
        <f t="shared" si="0"/>
        <v>306480.42700000003</v>
      </c>
      <c r="R7" s="126">
        <f t="shared" si="0"/>
        <v>304192.42700000003</v>
      </c>
    </row>
    <row r="8" spans="1:18" ht="15" customHeight="1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 ht="15" customHeight="1">
      <c r="A9" s="1" t="s">
        <v>59</v>
      </c>
      <c r="B9" s="1"/>
      <c r="C9" s="1"/>
      <c r="D9" s="1"/>
      <c r="E9" s="1"/>
      <c r="F9" s="1"/>
      <c r="G9" s="13">
        <f>+G11+G12</f>
        <v>7744.4269999999997</v>
      </c>
      <c r="H9" s="13">
        <f>+H11+H12</f>
        <v>7642.4269999999997</v>
      </c>
      <c r="I9" s="13">
        <f>+I11+I12+1</f>
        <v>7497.4269999999997</v>
      </c>
      <c r="J9" s="13">
        <f>+J11+J12+1</f>
        <v>7949.4269999999997</v>
      </c>
      <c r="K9" s="13">
        <f>+K11+K12+1</f>
        <v>7932.4269999999997</v>
      </c>
      <c r="L9" s="13">
        <f>+L11+L12</f>
        <v>8117.4269999999997</v>
      </c>
      <c r="M9" s="13">
        <f t="shared" ref="M9:R9" si="1">+M11+M12+1</f>
        <v>8239.4269999999997</v>
      </c>
      <c r="N9" s="13">
        <f t="shared" si="1"/>
        <v>8295.4269999999997</v>
      </c>
      <c r="O9" s="13">
        <f t="shared" si="1"/>
        <v>8577.4269999999997</v>
      </c>
      <c r="P9" s="13">
        <f t="shared" si="1"/>
        <v>8446.4269999999997</v>
      </c>
      <c r="Q9" s="13">
        <f t="shared" si="1"/>
        <v>8376.4269999999997</v>
      </c>
      <c r="R9" s="13">
        <f t="shared" si="1"/>
        <v>8677.4269999999997</v>
      </c>
    </row>
    <row r="10" spans="1:18" ht="15" customHeight="1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15" customHeight="1">
      <c r="B11" s="2" t="s">
        <v>134</v>
      </c>
      <c r="G11" s="15">
        <v>7561</v>
      </c>
      <c r="H11" s="15">
        <v>7459</v>
      </c>
      <c r="I11" s="15">
        <v>7313</v>
      </c>
      <c r="J11" s="15">
        <v>7765</v>
      </c>
      <c r="K11" s="15">
        <v>7748</v>
      </c>
      <c r="L11" s="15">
        <v>7934</v>
      </c>
      <c r="M11" s="15">
        <v>8055</v>
      </c>
      <c r="N11" s="15">
        <v>8111</v>
      </c>
      <c r="O11" s="15">
        <v>8393</v>
      </c>
      <c r="P11" s="15">
        <v>8262</v>
      </c>
      <c r="Q11" s="15">
        <v>8192</v>
      </c>
      <c r="R11" s="15">
        <v>8493</v>
      </c>
    </row>
    <row r="12" spans="1:18" ht="15" customHeight="1">
      <c r="B12" s="2" t="s">
        <v>135</v>
      </c>
      <c r="G12" s="14">
        <f t="shared" ref="G12:R12" si="2">+SUM(G13:G14)</f>
        <v>183.42699999999999</v>
      </c>
      <c r="H12" s="14">
        <f t="shared" si="2"/>
        <v>183.42699999999999</v>
      </c>
      <c r="I12" s="14">
        <f t="shared" si="2"/>
        <v>183.42699999999999</v>
      </c>
      <c r="J12" s="14">
        <f t="shared" si="2"/>
        <v>183.42699999999999</v>
      </c>
      <c r="K12" s="14">
        <f t="shared" si="2"/>
        <v>183.42699999999999</v>
      </c>
      <c r="L12" s="14">
        <f t="shared" si="2"/>
        <v>183.42699999999999</v>
      </c>
      <c r="M12" s="14">
        <f t="shared" si="2"/>
        <v>183.42699999999999</v>
      </c>
      <c r="N12" s="14">
        <f t="shared" si="2"/>
        <v>183.42699999999999</v>
      </c>
      <c r="O12" s="14">
        <f t="shared" si="2"/>
        <v>183.42699999999999</v>
      </c>
      <c r="P12" s="14">
        <f t="shared" si="2"/>
        <v>183.42699999999999</v>
      </c>
      <c r="Q12" s="14">
        <f t="shared" si="2"/>
        <v>183.42699999999999</v>
      </c>
      <c r="R12" s="14">
        <f t="shared" si="2"/>
        <v>183.42699999999999</v>
      </c>
    </row>
    <row r="13" spans="1:18" ht="15" customHeight="1">
      <c r="C13" s="2" t="s">
        <v>13</v>
      </c>
      <c r="G13" s="15">
        <v>36.826000000000001</v>
      </c>
      <c r="H13" s="15">
        <v>36.826000000000001</v>
      </c>
      <c r="I13" s="15">
        <v>36.826000000000001</v>
      </c>
      <c r="J13" s="15">
        <v>36.826000000000001</v>
      </c>
      <c r="K13" s="15">
        <v>36.826000000000001</v>
      </c>
      <c r="L13" s="15">
        <v>36.826000000000001</v>
      </c>
      <c r="M13" s="15">
        <v>36.826000000000001</v>
      </c>
      <c r="N13" s="15">
        <v>36.826000000000001</v>
      </c>
      <c r="O13" s="15">
        <v>36.826000000000001</v>
      </c>
      <c r="P13" s="15">
        <v>36.826000000000001</v>
      </c>
      <c r="Q13" s="15">
        <v>36.826000000000001</v>
      </c>
      <c r="R13" s="15">
        <v>36.826000000000001</v>
      </c>
    </row>
    <row r="14" spans="1:18" ht="15" customHeight="1">
      <c r="C14" s="2" t="s">
        <v>15</v>
      </c>
      <c r="G14" s="15">
        <v>146.601</v>
      </c>
      <c r="H14" s="15">
        <v>146.601</v>
      </c>
      <c r="I14" s="15">
        <v>146.601</v>
      </c>
      <c r="J14" s="15">
        <v>146.601</v>
      </c>
      <c r="K14" s="15">
        <v>146.601</v>
      </c>
      <c r="L14" s="15">
        <v>146.601</v>
      </c>
      <c r="M14" s="15">
        <v>146.601</v>
      </c>
      <c r="N14" s="15">
        <v>146.601</v>
      </c>
      <c r="O14" s="15">
        <v>146.601</v>
      </c>
      <c r="P14" s="15">
        <v>146.601</v>
      </c>
      <c r="Q14" s="15">
        <v>146.601</v>
      </c>
      <c r="R14" s="15">
        <v>146.601</v>
      </c>
    </row>
    <row r="15" spans="1:18" ht="15" customHeight="1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ht="15" customHeight="1">
      <c r="A16" s="1" t="s">
        <v>136</v>
      </c>
      <c r="B16" s="1"/>
      <c r="C16" s="1"/>
      <c r="D16" s="1"/>
      <c r="E16" s="1"/>
      <c r="F16" s="1"/>
      <c r="G16" s="13">
        <f t="shared" ref="G16:R16" si="3">+G18+G19</f>
        <v>278820</v>
      </c>
      <c r="H16" s="13">
        <f t="shared" si="3"/>
        <v>264396</v>
      </c>
      <c r="I16" s="13">
        <f t="shared" si="3"/>
        <v>245615</v>
      </c>
      <c r="J16" s="13">
        <f t="shared" si="3"/>
        <v>250911</v>
      </c>
      <c r="K16" s="13">
        <f>+K18+K19</f>
        <v>255178</v>
      </c>
      <c r="L16" s="13">
        <f t="shared" si="3"/>
        <v>277306</v>
      </c>
      <c r="M16" s="13">
        <f t="shared" si="3"/>
        <v>280957</v>
      </c>
      <c r="N16" s="13">
        <f t="shared" si="3"/>
        <v>298348</v>
      </c>
      <c r="O16" s="13">
        <f t="shared" si="3"/>
        <v>317574</v>
      </c>
      <c r="P16" s="13">
        <f t="shared" si="3"/>
        <v>310147</v>
      </c>
      <c r="Q16" s="13">
        <f t="shared" si="3"/>
        <v>298104</v>
      </c>
      <c r="R16" s="13">
        <f t="shared" si="3"/>
        <v>295515</v>
      </c>
    </row>
    <row r="17" spans="1:18" ht="15" customHeight="1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15" customHeight="1">
      <c r="B18" s="2" t="s">
        <v>134</v>
      </c>
      <c r="G18" s="15">
        <v>252506</v>
      </c>
      <c r="H18" s="15">
        <v>239586</v>
      </c>
      <c r="I18" s="15">
        <v>223095</v>
      </c>
      <c r="J18" s="15">
        <v>240734</v>
      </c>
      <c r="K18" s="15">
        <v>232127</v>
      </c>
      <c r="L18" s="15">
        <v>254317</v>
      </c>
      <c r="M18" s="15">
        <v>258048</v>
      </c>
      <c r="N18" s="15">
        <v>274208</v>
      </c>
      <c r="O18" s="15">
        <v>292647</v>
      </c>
      <c r="P18" s="15">
        <v>285165</v>
      </c>
      <c r="Q18" s="15">
        <v>274622</v>
      </c>
      <c r="R18" s="15">
        <v>272885</v>
      </c>
    </row>
    <row r="19" spans="1:18" ht="15" customHeight="1">
      <c r="B19" s="2" t="s">
        <v>135</v>
      </c>
      <c r="G19" s="14">
        <f t="shared" ref="G19:R19" si="4">+SUM(G20:G23)</f>
        <v>26314</v>
      </c>
      <c r="H19" s="14">
        <f t="shared" si="4"/>
        <v>24810</v>
      </c>
      <c r="I19" s="14">
        <f t="shared" si="4"/>
        <v>22520</v>
      </c>
      <c r="J19" s="14">
        <f t="shared" si="4"/>
        <v>10177</v>
      </c>
      <c r="K19" s="14">
        <f t="shared" si="4"/>
        <v>23051</v>
      </c>
      <c r="L19" s="14">
        <f t="shared" si="4"/>
        <v>22989</v>
      </c>
      <c r="M19" s="14">
        <f t="shared" si="4"/>
        <v>22909</v>
      </c>
      <c r="N19" s="14">
        <f t="shared" si="4"/>
        <v>24140</v>
      </c>
      <c r="O19" s="14">
        <f>+SUM(O20:O23)-1</f>
        <v>24927</v>
      </c>
      <c r="P19" s="14">
        <f t="shared" si="4"/>
        <v>24982</v>
      </c>
      <c r="Q19" s="14">
        <f>+SUM(Q20:Q23)+1</f>
        <v>23482</v>
      </c>
      <c r="R19" s="14">
        <f t="shared" si="4"/>
        <v>22630</v>
      </c>
    </row>
    <row r="20" spans="1:18" ht="15" customHeight="1">
      <c r="C20" s="2" t="s">
        <v>12</v>
      </c>
      <c r="G20" s="15">
        <v>8307</v>
      </c>
      <c r="H20" s="15">
        <v>7831</v>
      </c>
      <c r="I20" s="15">
        <v>7215</v>
      </c>
      <c r="J20" s="15">
        <v>7704</v>
      </c>
      <c r="K20" s="15">
        <v>7415</v>
      </c>
      <c r="L20" s="15">
        <v>7741</v>
      </c>
      <c r="M20" s="15">
        <v>7717</v>
      </c>
      <c r="N20" s="15">
        <v>8086</v>
      </c>
      <c r="O20" s="15">
        <v>8139</v>
      </c>
      <c r="P20" s="15">
        <v>7780</v>
      </c>
      <c r="Q20" s="15">
        <v>7448</v>
      </c>
      <c r="R20" s="15">
        <v>7400</v>
      </c>
    </row>
    <row r="21" spans="1:18" ht="15" customHeight="1">
      <c r="C21" s="2" t="s">
        <v>13</v>
      </c>
      <c r="G21" s="15">
        <v>17163</v>
      </c>
      <c r="H21" s="15">
        <v>16180</v>
      </c>
      <c r="I21" s="15">
        <v>14576</v>
      </c>
      <c r="J21" s="15">
        <v>1686</v>
      </c>
      <c r="K21" s="15">
        <v>14877</v>
      </c>
      <c r="L21" s="15">
        <v>14495</v>
      </c>
      <c r="M21" s="15">
        <v>14436</v>
      </c>
      <c r="N21" s="15">
        <v>15261</v>
      </c>
      <c r="O21" s="15">
        <v>15972</v>
      </c>
      <c r="P21" s="15">
        <v>16406</v>
      </c>
      <c r="Q21" s="15">
        <v>15282</v>
      </c>
      <c r="R21" s="15">
        <v>14529</v>
      </c>
    </row>
    <row r="22" spans="1:18" ht="15" customHeight="1">
      <c r="C22" s="2" t="s">
        <v>21</v>
      </c>
      <c r="G22" s="15">
        <v>294</v>
      </c>
      <c r="H22" s="15">
        <v>279</v>
      </c>
      <c r="I22" s="15">
        <v>259</v>
      </c>
      <c r="J22" s="15">
        <v>277</v>
      </c>
      <c r="K22" s="15">
        <v>270</v>
      </c>
      <c r="L22" s="15">
        <v>290</v>
      </c>
      <c r="M22" s="15">
        <v>290</v>
      </c>
      <c r="N22" s="15">
        <v>303</v>
      </c>
      <c r="O22" s="15">
        <v>302</v>
      </c>
      <c r="P22" s="15">
        <v>281</v>
      </c>
      <c r="Q22" s="15">
        <v>271</v>
      </c>
      <c r="R22" s="15">
        <v>268</v>
      </c>
    </row>
    <row r="23" spans="1:18" ht="15" customHeight="1">
      <c r="C23" s="2" t="s">
        <v>15</v>
      </c>
      <c r="G23" s="15">
        <v>550</v>
      </c>
      <c r="H23" s="15">
        <v>520</v>
      </c>
      <c r="I23" s="15">
        <v>470</v>
      </c>
      <c r="J23" s="15">
        <v>510</v>
      </c>
      <c r="K23" s="15">
        <v>489</v>
      </c>
      <c r="L23" s="15">
        <v>463</v>
      </c>
      <c r="M23" s="15">
        <v>466</v>
      </c>
      <c r="N23" s="15">
        <v>490</v>
      </c>
      <c r="O23" s="15">
        <v>515</v>
      </c>
      <c r="P23" s="15">
        <v>515</v>
      </c>
      <c r="Q23" s="15">
        <v>480</v>
      </c>
      <c r="R23" s="15">
        <v>433</v>
      </c>
    </row>
    <row r="24" spans="1:18" ht="15" customHeight="1">
      <c r="G24" s="15"/>
    </row>
    <row r="25" spans="1:18" ht="15" customHeight="1">
      <c r="A25" s="9"/>
      <c r="B25" s="9"/>
      <c r="C25" s="9"/>
      <c r="D25" s="9"/>
      <c r="E25" s="9"/>
      <c r="F25" s="9"/>
    </row>
    <row r="26" spans="1:18" ht="15" customHeight="1">
      <c r="A26" s="2" t="s">
        <v>80</v>
      </c>
    </row>
    <row r="27" spans="1:18" ht="15" customHeight="1">
      <c r="A27" s="1"/>
    </row>
    <row r="28" spans="1:18" ht="15" customHeight="1">
      <c r="A28" s="1"/>
    </row>
    <row r="29" spans="1:18" ht="15" customHeight="1">
      <c r="A29" s="1"/>
    </row>
    <row r="30" spans="1:18" ht="15" customHeight="1">
      <c r="A30" s="1"/>
    </row>
    <row r="31" spans="1:18" ht="15" customHeight="1">
      <c r="A31" s="1"/>
    </row>
    <row r="32" spans="1:18" ht="15" customHeight="1">
      <c r="A32" s="11" t="s">
        <v>22</v>
      </c>
    </row>
    <row r="33" spans="1:7" ht="15" customHeight="1">
      <c r="A33" s="11" t="s">
        <v>68</v>
      </c>
    </row>
    <row r="34" spans="1:7" ht="15" customHeight="1">
      <c r="A34" s="11" t="s">
        <v>143</v>
      </c>
      <c r="F34" s="11"/>
    </row>
    <row r="35" spans="1:7" ht="15" customHeight="1">
      <c r="A35" s="83" t="s">
        <v>35</v>
      </c>
    </row>
    <row r="36" spans="1:7" ht="15" customHeight="1">
      <c r="F36" s="11"/>
    </row>
    <row r="37" spans="1:7" ht="15" customHeight="1">
      <c r="A37" s="11" t="s">
        <v>35</v>
      </c>
      <c r="F37" s="11"/>
    </row>
    <row r="38" spans="1:7" ht="15" customHeight="1">
      <c r="F38" s="11"/>
    </row>
    <row r="45" spans="1:7" ht="15" customHeight="1">
      <c r="G45" s="79"/>
    </row>
    <row r="46" spans="1:7" ht="15" customHeight="1">
      <c r="G46" s="11"/>
    </row>
    <row r="47" spans="1:7" ht="15" customHeight="1">
      <c r="G47" s="11"/>
    </row>
    <row r="48" spans="1:7" ht="15" customHeight="1">
      <c r="G48" s="11"/>
    </row>
    <row r="49" spans="7:7" ht="15" customHeight="1">
      <c r="G49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7">
    <pageSetUpPr fitToPage="1"/>
  </sheetPr>
  <dimension ref="A1:S43"/>
  <sheetViews>
    <sheetView workbookViewId="0">
      <selection activeCell="F17" sqref="F17"/>
    </sheetView>
  </sheetViews>
  <sheetFormatPr defaultRowHeight="16.5"/>
  <cols>
    <col min="1" max="5" width="2.140625" style="2" customWidth="1"/>
    <col min="6" max="6" width="15.7109375" style="2" customWidth="1"/>
    <col min="7" max="18" width="10.140625" style="2" bestFit="1" customWidth="1"/>
    <col min="19" max="256" width="9.140625" style="2"/>
    <col min="257" max="261" width="2.140625" style="2" customWidth="1"/>
    <col min="262" max="262" width="10.5703125" style="2" customWidth="1"/>
    <col min="263" max="274" width="9" style="2" customWidth="1"/>
    <col min="275" max="512" width="9.140625" style="2"/>
    <col min="513" max="517" width="2.140625" style="2" customWidth="1"/>
    <col min="518" max="518" width="10.5703125" style="2" customWidth="1"/>
    <col min="519" max="530" width="9" style="2" customWidth="1"/>
    <col min="531" max="768" width="9.140625" style="2"/>
    <col min="769" max="773" width="2.140625" style="2" customWidth="1"/>
    <col min="774" max="774" width="10.5703125" style="2" customWidth="1"/>
    <col min="775" max="786" width="9" style="2" customWidth="1"/>
    <col min="787" max="1024" width="9.140625" style="2"/>
    <col min="1025" max="1029" width="2.140625" style="2" customWidth="1"/>
    <col min="1030" max="1030" width="10.5703125" style="2" customWidth="1"/>
    <col min="1031" max="1042" width="9" style="2" customWidth="1"/>
    <col min="1043" max="1280" width="9.140625" style="2"/>
    <col min="1281" max="1285" width="2.140625" style="2" customWidth="1"/>
    <col min="1286" max="1286" width="10.5703125" style="2" customWidth="1"/>
    <col min="1287" max="1298" width="9" style="2" customWidth="1"/>
    <col min="1299" max="1536" width="9.140625" style="2"/>
    <col min="1537" max="1541" width="2.140625" style="2" customWidth="1"/>
    <col min="1542" max="1542" width="10.5703125" style="2" customWidth="1"/>
    <col min="1543" max="1554" width="9" style="2" customWidth="1"/>
    <col min="1555" max="1792" width="9.140625" style="2"/>
    <col min="1793" max="1797" width="2.140625" style="2" customWidth="1"/>
    <col min="1798" max="1798" width="10.5703125" style="2" customWidth="1"/>
    <col min="1799" max="1810" width="9" style="2" customWidth="1"/>
    <col min="1811" max="2048" width="9.140625" style="2"/>
    <col min="2049" max="2053" width="2.140625" style="2" customWidth="1"/>
    <col min="2054" max="2054" width="10.5703125" style="2" customWidth="1"/>
    <col min="2055" max="2066" width="9" style="2" customWidth="1"/>
    <col min="2067" max="2304" width="9.140625" style="2"/>
    <col min="2305" max="2309" width="2.140625" style="2" customWidth="1"/>
    <col min="2310" max="2310" width="10.5703125" style="2" customWidth="1"/>
    <col min="2311" max="2322" width="9" style="2" customWidth="1"/>
    <col min="2323" max="2560" width="9.140625" style="2"/>
    <col min="2561" max="2565" width="2.140625" style="2" customWidth="1"/>
    <col min="2566" max="2566" width="10.5703125" style="2" customWidth="1"/>
    <col min="2567" max="2578" width="9" style="2" customWidth="1"/>
    <col min="2579" max="2816" width="9.140625" style="2"/>
    <col min="2817" max="2821" width="2.140625" style="2" customWidth="1"/>
    <col min="2822" max="2822" width="10.5703125" style="2" customWidth="1"/>
    <col min="2823" max="2834" width="9" style="2" customWidth="1"/>
    <col min="2835" max="3072" width="9.140625" style="2"/>
    <col min="3073" max="3077" width="2.140625" style="2" customWidth="1"/>
    <col min="3078" max="3078" width="10.5703125" style="2" customWidth="1"/>
    <col min="3079" max="3090" width="9" style="2" customWidth="1"/>
    <col min="3091" max="3328" width="9.140625" style="2"/>
    <col min="3329" max="3333" width="2.140625" style="2" customWidth="1"/>
    <col min="3334" max="3334" width="10.5703125" style="2" customWidth="1"/>
    <col min="3335" max="3346" width="9" style="2" customWidth="1"/>
    <col min="3347" max="3584" width="9.140625" style="2"/>
    <col min="3585" max="3589" width="2.140625" style="2" customWidth="1"/>
    <col min="3590" max="3590" width="10.5703125" style="2" customWidth="1"/>
    <col min="3591" max="3602" width="9" style="2" customWidth="1"/>
    <col min="3603" max="3840" width="9.140625" style="2"/>
    <col min="3841" max="3845" width="2.140625" style="2" customWidth="1"/>
    <col min="3846" max="3846" width="10.5703125" style="2" customWidth="1"/>
    <col min="3847" max="3858" width="9" style="2" customWidth="1"/>
    <col min="3859" max="4096" width="9.140625" style="2"/>
    <col min="4097" max="4101" width="2.140625" style="2" customWidth="1"/>
    <col min="4102" max="4102" width="10.5703125" style="2" customWidth="1"/>
    <col min="4103" max="4114" width="9" style="2" customWidth="1"/>
    <col min="4115" max="4352" width="9.140625" style="2"/>
    <col min="4353" max="4357" width="2.140625" style="2" customWidth="1"/>
    <col min="4358" max="4358" width="10.5703125" style="2" customWidth="1"/>
    <col min="4359" max="4370" width="9" style="2" customWidth="1"/>
    <col min="4371" max="4608" width="9.140625" style="2"/>
    <col min="4609" max="4613" width="2.140625" style="2" customWidth="1"/>
    <col min="4614" max="4614" width="10.5703125" style="2" customWidth="1"/>
    <col min="4615" max="4626" width="9" style="2" customWidth="1"/>
    <col min="4627" max="4864" width="9.140625" style="2"/>
    <col min="4865" max="4869" width="2.140625" style="2" customWidth="1"/>
    <col min="4870" max="4870" width="10.5703125" style="2" customWidth="1"/>
    <col min="4871" max="4882" width="9" style="2" customWidth="1"/>
    <col min="4883" max="5120" width="9.140625" style="2"/>
    <col min="5121" max="5125" width="2.140625" style="2" customWidth="1"/>
    <col min="5126" max="5126" width="10.5703125" style="2" customWidth="1"/>
    <col min="5127" max="5138" width="9" style="2" customWidth="1"/>
    <col min="5139" max="5376" width="9.140625" style="2"/>
    <col min="5377" max="5381" width="2.140625" style="2" customWidth="1"/>
    <col min="5382" max="5382" width="10.5703125" style="2" customWidth="1"/>
    <col min="5383" max="5394" width="9" style="2" customWidth="1"/>
    <col min="5395" max="5632" width="9.140625" style="2"/>
    <col min="5633" max="5637" width="2.140625" style="2" customWidth="1"/>
    <col min="5638" max="5638" width="10.5703125" style="2" customWidth="1"/>
    <col min="5639" max="5650" width="9" style="2" customWidth="1"/>
    <col min="5651" max="5888" width="9.140625" style="2"/>
    <col min="5889" max="5893" width="2.140625" style="2" customWidth="1"/>
    <col min="5894" max="5894" width="10.5703125" style="2" customWidth="1"/>
    <col min="5895" max="5906" width="9" style="2" customWidth="1"/>
    <col min="5907" max="6144" width="9.140625" style="2"/>
    <col min="6145" max="6149" width="2.140625" style="2" customWidth="1"/>
    <col min="6150" max="6150" width="10.5703125" style="2" customWidth="1"/>
    <col min="6151" max="6162" width="9" style="2" customWidth="1"/>
    <col min="6163" max="6400" width="9.140625" style="2"/>
    <col min="6401" max="6405" width="2.140625" style="2" customWidth="1"/>
    <col min="6406" max="6406" width="10.5703125" style="2" customWidth="1"/>
    <col min="6407" max="6418" width="9" style="2" customWidth="1"/>
    <col min="6419" max="6656" width="9.140625" style="2"/>
    <col min="6657" max="6661" width="2.140625" style="2" customWidth="1"/>
    <col min="6662" max="6662" width="10.5703125" style="2" customWidth="1"/>
    <col min="6663" max="6674" width="9" style="2" customWidth="1"/>
    <col min="6675" max="6912" width="9.140625" style="2"/>
    <col min="6913" max="6917" width="2.140625" style="2" customWidth="1"/>
    <col min="6918" max="6918" width="10.5703125" style="2" customWidth="1"/>
    <col min="6919" max="6930" width="9" style="2" customWidth="1"/>
    <col min="6931" max="7168" width="9.140625" style="2"/>
    <col min="7169" max="7173" width="2.140625" style="2" customWidth="1"/>
    <col min="7174" max="7174" width="10.5703125" style="2" customWidth="1"/>
    <col min="7175" max="7186" width="9" style="2" customWidth="1"/>
    <col min="7187" max="7424" width="9.140625" style="2"/>
    <col min="7425" max="7429" width="2.140625" style="2" customWidth="1"/>
    <col min="7430" max="7430" width="10.5703125" style="2" customWidth="1"/>
    <col min="7431" max="7442" width="9" style="2" customWidth="1"/>
    <col min="7443" max="7680" width="9.140625" style="2"/>
    <col min="7681" max="7685" width="2.140625" style="2" customWidth="1"/>
    <col min="7686" max="7686" width="10.5703125" style="2" customWidth="1"/>
    <col min="7687" max="7698" width="9" style="2" customWidth="1"/>
    <col min="7699" max="7936" width="9.140625" style="2"/>
    <col min="7937" max="7941" width="2.140625" style="2" customWidth="1"/>
    <col min="7942" max="7942" width="10.5703125" style="2" customWidth="1"/>
    <col min="7943" max="7954" width="9" style="2" customWidth="1"/>
    <col min="7955" max="8192" width="9.140625" style="2"/>
    <col min="8193" max="8197" width="2.140625" style="2" customWidth="1"/>
    <col min="8198" max="8198" width="10.5703125" style="2" customWidth="1"/>
    <col min="8199" max="8210" width="9" style="2" customWidth="1"/>
    <col min="8211" max="8448" width="9.140625" style="2"/>
    <col min="8449" max="8453" width="2.140625" style="2" customWidth="1"/>
    <col min="8454" max="8454" width="10.5703125" style="2" customWidth="1"/>
    <col min="8455" max="8466" width="9" style="2" customWidth="1"/>
    <col min="8467" max="8704" width="9.140625" style="2"/>
    <col min="8705" max="8709" width="2.140625" style="2" customWidth="1"/>
    <col min="8710" max="8710" width="10.5703125" style="2" customWidth="1"/>
    <col min="8711" max="8722" width="9" style="2" customWidth="1"/>
    <col min="8723" max="8960" width="9.140625" style="2"/>
    <col min="8961" max="8965" width="2.140625" style="2" customWidth="1"/>
    <col min="8966" max="8966" width="10.5703125" style="2" customWidth="1"/>
    <col min="8967" max="8978" width="9" style="2" customWidth="1"/>
    <col min="8979" max="9216" width="9.140625" style="2"/>
    <col min="9217" max="9221" width="2.140625" style="2" customWidth="1"/>
    <col min="9222" max="9222" width="10.5703125" style="2" customWidth="1"/>
    <col min="9223" max="9234" width="9" style="2" customWidth="1"/>
    <col min="9235" max="9472" width="9.140625" style="2"/>
    <col min="9473" max="9477" width="2.140625" style="2" customWidth="1"/>
    <col min="9478" max="9478" width="10.5703125" style="2" customWidth="1"/>
    <col min="9479" max="9490" width="9" style="2" customWidth="1"/>
    <col min="9491" max="9728" width="9.140625" style="2"/>
    <col min="9729" max="9733" width="2.140625" style="2" customWidth="1"/>
    <col min="9734" max="9734" width="10.5703125" style="2" customWidth="1"/>
    <col min="9735" max="9746" width="9" style="2" customWidth="1"/>
    <col min="9747" max="9984" width="9.140625" style="2"/>
    <col min="9985" max="9989" width="2.140625" style="2" customWidth="1"/>
    <col min="9990" max="9990" width="10.5703125" style="2" customWidth="1"/>
    <col min="9991" max="10002" width="9" style="2" customWidth="1"/>
    <col min="10003" max="10240" width="9.140625" style="2"/>
    <col min="10241" max="10245" width="2.140625" style="2" customWidth="1"/>
    <col min="10246" max="10246" width="10.5703125" style="2" customWidth="1"/>
    <col min="10247" max="10258" width="9" style="2" customWidth="1"/>
    <col min="10259" max="10496" width="9.140625" style="2"/>
    <col min="10497" max="10501" width="2.140625" style="2" customWidth="1"/>
    <col min="10502" max="10502" width="10.5703125" style="2" customWidth="1"/>
    <col min="10503" max="10514" width="9" style="2" customWidth="1"/>
    <col min="10515" max="10752" width="9.140625" style="2"/>
    <col min="10753" max="10757" width="2.140625" style="2" customWidth="1"/>
    <col min="10758" max="10758" width="10.5703125" style="2" customWidth="1"/>
    <col min="10759" max="10770" width="9" style="2" customWidth="1"/>
    <col min="10771" max="11008" width="9.140625" style="2"/>
    <col min="11009" max="11013" width="2.140625" style="2" customWidth="1"/>
    <col min="11014" max="11014" width="10.5703125" style="2" customWidth="1"/>
    <col min="11015" max="11026" width="9" style="2" customWidth="1"/>
    <col min="11027" max="11264" width="9.140625" style="2"/>
    <col min="11265" max="11269" width="2.140625" style="2" customWidth="1"/>
    <col min="11270" max="11270" width="10.5703125" style="2" customWidth="1"/>
    <col min="11271" max="11282" width="9" style="2" customWidth="1"/>
    <col min="11283" max="11520" width="9.140625" style="2"/>
    <col min="11521" max="11525" width="2.140625" style="2" customWidth="1"/>
    <col min="11526" max="11526" width="10.5703125" style="2" customWidth="1"/>
    <col min="11527" max="11538" width="9" style="2" customWidth="1"/>
    <col min="11539" max="11776" width="9.140625" style="2"/>
    <col min="11777" max="11781" width="2.140625" style="2" customWidth="1"/>
    <col min="11782" max="11782" width="10.5703125" style="2" customWidth="1"/>
    <col min="11783" max="11794" width="9" style="2" customWidth="1"/>
    <col min="11795" max="12032" width="9.140625" style="2"/>
    <col min="12033" max="12037" width="2.140625" style="2" customWidth="1"/>
    <col min="12038" max="12038" width="10.5703125" style="2" customWidth="1"/>
    <col min="12039" max="12050" width="9" style="2" customWidth="1"/>
    <col min="12051" max="12288" width="9.140625" style="2"/>
    <col min="12289" max="12293" width="2.140625" style="2" customWidth="1"/>
    <col min="12294" max="12294" width="10.5703125" style="2" customWidth="1"/>
    <col min="12295" max="12306" width="9" style="2" customWidth="1"/>
    <col min="12307" max="12544" width="9.140625" style="2"/>
    <col min="12545" max="12549" width="2.140625" style="2" customWidth="1"/>
    <col min="12550" max="12550" width="10.5703125" style="2" customWidth="1"/>
    <col min="12551" max="12562" width="9" style="2" customWidth="1"/>
    <col min="12563" max="12800" width="9.140625" style="2"/>
    <col min="12801" max="12805" width="2.140625" style="2" customWidth="1"/>
    <col min="12806" max="12806" width="10.5703125" style="2" customWidth="1"/>
    <col min="12807" max="12818" width="9" style="2" customWidth="1"/>
    <col min="12819" max="13056" width="9.140625" style="2"/>
    <col min="13057" max="13061" width="2.140625" style="2" customWidth="1"/>
    <col min="13062" max="13062" width="10.5703125" style="2" customWidth="1"/>
    <col min="13063" max="13074" width="9" style="2" customWidth="1"/>
    <col min="13075" max="13312" width="9.140625" style="2"/>
    <col min="13313" max="13317" width="2.140625" style="2" customWidth="1"/>
    <col min="13318" max="13318" width="10.5703125" style="2" customWidth="1"/>
    <col min="13319" max="13330" width="9" style="2" customWidth="1"/>
    <col min="13331" max="13568" width="9.140625" style="2"/>
    <col min="13569" max="13573" width="2.140625" style="2" customWidth="1"/>
    <col min="13574" max="13574" width="10.5703125" style="2" customWidth="1"/>
    <col min="13575" max="13586" width="9" style="2" customWidth="1"/>
    <col min="13587" max="13824" width="9.140625" style="2"/>
    <col min="13825" max="13829" width="2.140625" style="2" customWidth="1"/>
    <col min="13830" max="13830" width="10.5703125" style="2" customWidth="1"/>
    <col min="13831" max="13842" width="9" style="2" customWidth="1"/>
    <col min="13843" max="14080" width="9.140625" style="2"/>
    <col min="14081" max="14085" width="2.140625" style="2" customWidth="1"/>
    <col min="14086" max="14086" width="10.5703125" style="2" customWidth="1"/>
    <col min="14087" max="14098" width="9" style="2" customWidth="1"/>
    <col min="14099" max="14336" width="9.140625" style="2"/>
    <col min="14337" max="14341" width="2.140625" style="2" customWidth="1"/>
    <col min="14342" max="14342" width="10.5703125" style="2" customWidth="1"/>
    <col min="14343" max="14354" width="9" style="2" customWidth="1"/>
    <col min="14355" max="14592" width="9.140625" style="2"/>
    <col min="14593" max="14597" width="2.140625" style="2" customWidth="1"/>
    <col min="14598" max="14598" width="10.5703125" style="2" customWidth="1"/>
    <col min="14599" max="14610" width="9" style="2" customWidth="1"/>
    <col min="14611" max="14848" width="9.140625" style="2"/>
    <col min="14849" max="14853" width="2.140625" style="2" customWidth="1"/>
    <col min="14854" max="14854" width="10.5703125" style="2" customWidth="1"/>
    <col min="14855" max="14866" width="9" style="2" customWidth="1"/>
    <col min="14867" max="15104" width="9.140625" style="2"/>
    <col min="15105" max="15109" width="2.140625" style="2" customWidth="1"/>
    <col min="15110" max="15110" width="10.5703125" style="2" customWidth="1"/>
    <col min="15111" max="15122" width="9" style="2" customWidth="1"/>
    <col min="15123" max="15360" width="9.140625" style="2"/>
    <col min="15361" max="15365" width="2.140625" style="2" customWidth="1"/>
    <col min="15366" max="15366" width="10.5703125" style="2" customWidth="1"/>
    <col min="15367" max="15378" width="9" style="2" customWidth="1"/>
    <col min="15379" max="15616" width="9.140625" style="2"/>
    <col min="15617" max="15621" width="2.140625" style="2" customWidth="1"/>
    <col min="15622" max="15622" width="10.5703125" style="2" customWidth="1"/>
    <col min="15623" max="15634" width="9" style="2" customWidth="1"/>
    <col min="15635" max="15872" width="9.140625" style="2"/>
    <col min="15873" max="15877" width="2.140625" style="2" customWidth="1"/>
    <col min="15878" max="15878" width="10.5703125" style="2" customWidth="1"/>
    <col min="15879" max="15890" width="9" style="2" customWidth="1"/>
    <col min="15891" max="16128" width="9.140625" style="2"/>
    <col min="16129" max="16133" width="2.140625" style="2" customWidth="1"/>
    <col min="16134" max="16134" width="10.5703125" style="2" customWidth="1"/>
    <col min="16135" max="16146" width="9" style="2" customWidth="1"/>
    <col min="16147" max="16384" width="9.140625" style="2"/>
  </cols>
  <sheetData>
    <row r="1" spans="1:19">
      <c r="A1" s="1" t="s">
        <v>99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9">
      <c r="A2" s="1" t="s">
        <v>100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9">
      <c r="A3" s="2" t="s">
        <v>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9" ht="12" customHeight="1">
      <c r="G4" s="15"/>
      <c r="H4" s="15"/>
      <c r="I4" s="15"/>
      <c r="J4" s="15"/>
      <c r="K4" s="15"/>
      <c r="L4" s="89"/>
      <c r="M4" s="15"/>
      <c r="N4" s="15"/>
      <c r="O4" s="15"/>
      <c r="P4" s="89"/>
      <c r="Q4" s="89"/>
      <c r="R4" s="9"/>
    </row>
    <row r="5" spans="1:19" ht="16.5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6" t="s">
        <v>36</v>
      </c>
      <c r="M5" s="77" t="s">
        <v>28</v>
      </c>
      <c r="N5" s="77" t="s">
        <v>29</v>
      </c>
      <c r="O5" s="77" t="s">
        <v>30</v>
      </c>
      <c r="P5" s="76" t="s">
        <v>31</v>
      </c>
      <c r="Q5" s="76" t="s">
        <v>32</v>
      </c>
      <c r="R5" s="90" t="s">
        <v>33</v>
      </c>
    </row>
    <row r="6" spans="1:19" ht="9" customHeight="1">
      <c r="A6" s="91"/>
      <c r="B6" s="91"/>
      <c r="C6" s="91"/>
      <c r="D6" s="91"/>
      <c r="E6" s="91"/>
      <c r="F6" s="91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</row>
    <row r="7" spans="1:19" ht="16.5" customHeight="1">
      <c r="A7" s="1" t="s">
        <v>17</v>
      </c>
      <c r="E7" s="1"/>
      <c r="F7" s="91"/>
      <c r="G7" s="92">
        <v>1141218.137656</v>
      </c>
      <c r="H7" s="92">
        <v>1146495.680318</v>
      </c>
      <c r="I7" s="92">
        <v>1144026.0344809999</v>
      </c>
      <c r="J7" s="92">
        <v>1133134.28535</v>
      </c>
      <c r="K7" s="92">
        <v>1146619.041496</v>
      </c>
      <c r="L7" s="92">
        <v>1147948.2481120001</v>
      </c>
      <c r="M7" s="92">
        <v>1172995.3164639999</v>
      </c>
      <c r="N7" s="92">
        <v>1203463.9507249999</v>
      </c>
      <c r="O7" s="92">
        <v>1267264.2600529999</v>
      </c>
      <c r="P7" s="92">
        <v>1295647.5215</v>
      </c>
      <c r="Q7" s="92">
        <v>1274631.6250149999</v>
      </c>
      <c r="R7" s="92">
        <v>1350574.5850249999</v>
      </c>
    </row>
    <row r="8" spans="1:19" ht="8.25" customHeight="1">
      <c r="G8" s="15"/>
      <c r="H8" s="15"/>
      <c r="I8" s="15"/>
      <c r="J8" s="15"/>
      <c r="K8" s="15"/>
      <c r="L8" s="15"/>
    </row>
    <row r="9" spans="1:19">
      <c r="B9" s="1" t="s">
        <v>59</v>
      </c>
      <c r="G9" s="14">
        <v>737909</v>
      </c>
      <c r="H9" s="14">
        <v>741818</v>
      </c>
      <c r="I9" s="14">
        <v>742035</v>
      </c>
      <c r="J9" s="14">
        <v>734496</v>
      </c>
      <c r="K9" s="14">
        <v>734055</v>
      </c>
      <c r="L9" s="14">
        <v>734539</v>
      </c>
      <c r="M9" s="14">
        <v>727047</v>
      </c>
      <c r="N9" s="14">
        <v>727529.77099999995</v>
      </c>
      <c r="O9" s="14">
        <v>737014.65599999996</v>
      </c>
      <c r="P9" s="14">
        <v>746848.30700000003</v>
      </c>
      <c r="Q9" s="14">
        <v>745952</v>
      </c>
      <c r="R9" s="14">
        <v>749608</v>
      </c>
    </row>
    <row r="10" spans="1:19">
      <c r="C10" s="2" t="s">
        <v>101</v>
      </c>
      <c r="G10" s="14">
        <v>714610</v>
      </c>
      <c r="H10" s="14">
        <v>718529</v>
      </c>
      <c r="I10" s="14">
        <v>718720</v>
      </c>
      <c r="J10" s="14">
        <v>711180</v>
      </c>
      <c r="K10" s="14">
        <v>710740</v>
      </c>
      <c r="L10" s="14">
        <v>712691</v>
      </c>
      <c r="M10" s="14">
        <v>703937</v>
      </c>
      <c r="N10" s="14">
        <v>702923.77099999995</v>
      </c>
      <c r="O10" s="14">
        <v>709704</v>
      </c>
      <c r="P10" s="14">
        <v>718759</v>
      </c>
      <c r="Q10" s="14">
        <v>718070</v>
      </c>
      <c r="R10" s="14">
        <v>720088</v>
      </c>
      <c r="S10" s="15"/>
    </row>
    <row r="11" spans="1:19">
      <c r="D11" s="2" t="s">
        <v>88</v>
      </c>
      <c r="G11" s="15">
        <v>699925</v>
      </c>
      <c r="H11" s="15">
        <v>703844</v>
      </c>
      <c r="I11" s="15">
        <v>704035</v>
      </c>
      <c r="J11" s="15">
        <v>696498</v>
      </c>
      <c r="K11" s="15">
        <v>696057</v>
      </c>
      <c r="L11" s="15">
        <v>697716</v>
      </c>
      <c r="M11" s="15">
        <v>688961</v>
      </c>
      <c r="N11" s="15">
        <v>687946.77099999995</v>
      </c>
      <c r="O11" s="15">
        <v>694724</v>
      </c>
      <c r="P11" s="15">
        <v>703779</v>
      </c>
      <c r="Q11" s="15">
        <v>703090</v>
      </c>
      <c r="R11" s="15">
        <v>705108</v>
      </c>
    </row>
    <row r="12" spans="1:19">
      <c r="D12" s="2" t="s">
        <v>2</v>
      </c>
      <c r="G12" s="15">
        <v>14673</v>
      </c>
      <c r="H12" s="15">
        <v>14673</v>
      </c>
      <c r="I12" s="93">
        <v>14673</v>
      </c>
      <c r="J12" s="15">
        <v>14670</v>
      </c>
      <c r="K12" s="15">
        <v>14671</v>
      </c>
      <c r="L12" s="15">
        <v>14963</v>
      </c>
      <c r="M12" s="15">
        <v>14963</v>
      </c>
      <c r="N12" s="15">
        <v>14963</v>
      </c>
      <c r="O12" s="15">
        <v>14963</v>
      </c>
      <c r="P12" s="15">
        <v>14963</v>
      </c>
      <c r="Q12" s="15">
        <v>14963</v>
      </c>
      <c r="R12" s="15">
        <v>14963</v>
      </c>
    </row>
    <row r="13" spans="1:19">
      <c r="D13" s="2" t="s">
        <v>3</v>
      </c>
      <c r="G13" s="15">
        <v>12</v>
      </c>
      <c r="H13" s="15">
        <v>12</v>
      </c>
      <c r="I13" s="93">
        <v>12</v>
      </c>
      <c r="J13" s="15">
        <v>12</v>
      </c>
      <c r="K13" s="15">
        <v>12</v>
      </c>
      <c r="L13" s="15">
        <v>12</v>
      </c>
      <c r="M13" s="15">
        <v>13</v>
      </c>
      <c r="N13" s="15">
        <v>14</v>
      </c>
      <c r="O13" s="15">
        <v>16</v>
      </c>
      <c r="P13" s="15">
        <v>16</v>
      </c>
      <c r="Q13" s="15">
        <v>16</v>
      </c>
      <c r="R13" s="15">
        <v>17</v>
      </c>
    </row>
    <row r="14" spans="1:19" ht="7.5" customHeight="1">
      <c r="G14" s="15"/>
      <c r="H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9">
      <c r="C15" s="2" t="s">
        <v>60</v>
      </c>
      <c r="G15" s="14">
        <v>23299</v>
      </c>
      <c r="H15" s="14">
        <v>23289</v>
      </c>
      <c r="I15" s="14">
        <v>23315</v>
      </c>
      <c r="J15" s="14">
        <v>23316</v>
      </c>
      <c r="K15" s="14">
        <v>23315</v>
      </c>
      <c r="L15" s="14">
        <v>21848</v>
      </c>
      <c r="M15" s="14">
        <v>23110</v>
      </c>
      <c r="N15" s="14">
        <v>24606</v>
      </c>
      <c r="O15" s="14">
        <v>27311.655999999999</v>
      </c>
      <c r="P15" s="14">
        <v>28089.307000000001</v>
      </c>
      <c r="Q15" s="14">
        <v>27882</v>
      </c>
      <c r="R15" s="14">
        <v>29520</v>
      </c>
    </row>
    <row r="16" spans="1:19">
      <c r="D16" s="2" t="s">
        <v>12</v>
      </c>
      <c r="G16" s="15">
        <v>6881</v>
      </c>
      <c r="H16" s="15">
        <v>6878</v>
      </c>
      <c r="I16" s="93">
        <v>6885</v>
      </c>
      <c r="J16" s="15">
        <v>6885</v>
      </c>
      <c r="K16" s="15">
        <v>6887</v>
      </c>
      <c r="L16" s="15">
        <v>6397</v>
      </c>
      <c r="M16" s="15">
        <v>6397</v>
      </c>
      <c r="N16" s="15">
        <v>7314</v>
      </c>
      <c r="O16" s="15">
        <v>8212.8449999999993</v>
      </c>
      <c r="P16" s="15">
        <v>8471</v>
      </c>
      <c r="Q16" s="15">
        <v>8402</v>
      </c>
      <c r="R16" s="15">
        <v>8947</v>
      </c>
    </row>
    <row r="17" spans="2:19">
      <c r="D17" s="2" t="s">
        <v>13</v>
      </c>
      <c r="G17" s="15">
        <v>15966</v>
      </c>
      <c r="H17" s="15">
        <v>15960</v>
      </c>
      <c r="I17" s="93">
        <v>15978</v>
      </c>
      <c r="J17" s="15">
        <v>15979</v>
      </c>
      <c r="K17" s="15">
        <v>15976</v>
      </c>
      <c r="L17" s="15">
        <v>15030</v>
      </c>
      <c r="M17" s="15">
        <v>16248</v>
      </c>
      <c r="N17" s="15">
        <v>16812</v>
      </c>
      <c r="O17" s="15">
        <v>18560.037</v>
      </c>
      <c r="P17" s="15">
        <v>19062</v>
      </c>
      <c r="Q17" s="15">
        <v>18929</v>
      </c>
      <c r="R17" s="15">
        <v>19987</v>
      </c>
    </row>
    <row r="18" spans="2:19">
      <c r="D18" s="2" t="s">
        <v>14</v>
      </c>
      <c r="G18" s="15">
        <v>446</v>
      </c>
      <c r="H18" s="15">
        <v>445</v>
      </c>
      <c r="I18" s="93">
        <v>446</v>
      </c>
      <c r="J18" s="15">
        <v>446</v>
      </c>
      <c r="K18" s="15">
        <v>446</v>
      </c>
      <c r="L18" s="15">
        <v>415</v>
      </c>
      <c r="M18" s="15">
        <v>459</v>
      </c>
      <c r="N18" s="15">
        <v>474</v>
      </c>
      <c r="O18" s="15">
        <v>532.46699999999998</v>
      </c>
      <c r="P18" s="15">
        <v>549</v>
      </c>
      <c r="Q18" s="15">
        <v>545</v>
      </c>
      <c r="R18" s="15">
        <v>580</v>
      </c>
    </row>
    <row r="19" spans="2:19">
      <c r="D19" s="2" t="s">
        <v>15</v>
      </c>
      <c r="G19" s="15">
        <v>6</v>
      </c>
      <c r="H19" s="15">
        <v>6</v>
      </c>
      <c r="I19" s="93">
        <v>6</v>
      </c>
      <c r="J19" s="15">
        <v>6</v>
      </c>
      <c r="K19" s="15">
        <v>6</v>
      </c>
      <c r="L19" s="15">
        <v>6</v>
      </c>
      <c r="M19" s="15">
        <v>6</v>
      </c>
      <c r="N19" s="15">
        <v>6</v>
      </c>
      <c r="O19" s="15">
        <v>6.3070000000000004</v>
      </c>
      <c r="P19" s="15">
        <v>6.3070000000000004</v>
      </c>
      <c r="Q19" s="15">
        <v>6</v>
      </c>
      <c r="R19" s="15">
        <v>6</v>
      </c>
    </row>
    <row r="20" spans="2:19" ht="9" customHeight="1">
      <c r="G20" s="15"/>
      <c r="H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2:19">
      <c r="B21" s="1" t="s">
        <v>125</v>
      </c>
      <c r="C21" s="1"/>
      <c r="D21" s="1"/>
      <c r="E21" s="1"/>
      <c r="F21" s="1"/>
      <c r="G21" s="13">
        <v>403309.13765599998</v>
      </c>
      <c r="H21" s="13">
        <v>404677.68031800003</v>
      </c>
      <c r="I21" s="82">
        <v>401991.03448099998</v>
      </c>
      <c r="J21" s="13">
        <v>398638.28535000002</v>
      </c>
      <c r="K21" s="13">
        <v>412564.04149600002</v>
      </c>
      <c r="L21" s="13">
        <v>413409.248112</v>
      </c>
      <c r="M21" s="13">
        <v>445948.31646399997</v>
      </c>
      <c r="N21" s="13">
        <v>475934.17972500005</v>
      </c>
      <c r="O21" s="13">
        <v>530249.60405299999</v>
      </c>
      <c r="P21" s="13">
        <v>548799.2145</v>
      </c>
      <c r="Q21" s="13">
        <v>528679.625015</v>
      </c>
      <c r="R21" s="13">
        <v>600966.58502499992</v>
      </c>
      <c r="S21" s="15"/>
    </row>
    <row r="22" spans="2:19" ht="6" customHeight="1">
      <c r="B22" s="1"/>
      <c r="G22" s="14"/>
      <c r="H22" s="14"/>
      <c r="I22" s="94"/>
      <c r="J22" s="14"/>
      <c r="K22" s="14"/>
      <c r="L22" s="14"/>
      <c r="M22" s="14"/>
      <c r="N22" s="14"/>
      <c r="O22" s="14"/>
      <c r="P22" s="14"/>
      <c r="Q22" s="14"/>
      <c r="R22" s="14"/>
      <c r="S22" s="15"/>
    </row>
    <row r="23" spans="2:19">
      <c r="C23" s="2" t="s">
        <v>101</v>
      </c>
      <c r="G23" s="14">
        <v>301405</v>
      </c>
      <c r="H23" s="14">
        <v>302741</v>
      </c>
      <c r="I23" s="14">
        <v>300191</v>
      </c>
      <c r="J23" s="14">
        <v>297599</v>
      </c>
      <c r="K23" s="14">
        <v>310910</v>
      </c>
      <c r="L23" s="14">
        <v>312543</v>
      </c>
      <c r="M23" s="14">
        <v>335633</v>
      </c>
      <c r="N23" s="14">
        <v>361270.61700000003</v>
      </c>
      <c r="O23" s="14">
        <v>401668</v>
      </c>
      <c r="P23" s="14">
        <v>416903</v>
      </c>
      <c r="Q23" s="14">
        <v>398754</v>
      </c>
      <c r="R23" s="14">
        <v>453839</v>
      </c>
    </row>
    <row r="24" spans="2:19">
      <c r="D24" s="2" t="s">
        <v>2</v>
      </c>
      <c r="G24" s="15">
        <v>255730</v>
      </c>
      <c r="H24" s="15">
        <v>256634</v>
      </c>
      <c r="I24" s="93">
        <v>254493</v>
      </c>
      <c r="J24" s="15">
        <v>252735</v>
      </c>
      <c r="K24" s="15">
        <v>262800</v>
      </c>
      <c r="L24" s="15">
        <v>263906</v>
      </c>
      <c r="M24" s="15">
        <v>284078</v>
      </c>
      <c r="N24" s="15">
        <v>306994.61700000003</v>
      </c>
      <c r="O24" s="15">
        <v>341784</v>
      </c>
      <c r="P24" s="15">
        <v>354392</v>
      </c>
      <c r="Q24" s="15">
        <v>339542</v>
      </c>
      <c r="R24" s="15">
        <v>386215</v>
      </c>
    </row>
    <row r="25" spans="2:19">
      <c r="D25" s="2" t="s">
        <v>3</v>
      </c>
      <c r="G25" s="15">
        <v>45675</v>
      </c>
      <c r="H25" s="15">
        <v>46107</v>
      </c>
      <c r="I25" s="93">
        <v>45698</v>
      </c>
      <c r="J25" s="15">
        <v>44864</v>
      </c>
      <c r="K25" s="15">
        <v>48110</v>
      </c>
      <c r="L25" s="15">
        <v>48637</v>
      </c>
      <c r="M25" s="15">
        <v>51555</v>
      </c>
      <c r="N25" s="15">
        <v>54276</v>
      </c>
      <c r="O25" s="15">
        <v>59884</v>
      </c>
      <c r="P25" s="15">
        <v>62511</v>
      </c>
      <c r="Q25" s="15">
        <v>59212</v>
      </c>
      <c r="R25" s="15">
        <v>67624</v>
      </c>
    </row>
    <row r="26" spans="2:19" ht="9.75" customHeight="1">
      <c r="G26" s="15"/>
      <c r="H26" s="15"/>
      <c r="J26" s="15"/>
      <c r="K26" s="15"/>
      <c r="L26" s="15"/>
      <c r="M26" s="15"/>
      <c r="N26" s="15"/>
      <c r="O26" s="14"/>
      <c r="P26" s="14"/>
      <c r="Q26" s="14"/>
      <c r="R26" s="14"/>
    </row>
    <row r="27" spans="2:19">
      <c r="C27" s="2" t="s">
        <v>60</v>
      </c>
      <c r="G27" s="14">
        <v>15635.137656000001</v>
      </c>
      <c r="H27" s="14">
        <v>15616.680318000001</v>
      </c>
      <c r="I27" s="14">
        <v>15613.034481000001</v>
      </c>
      <c r="J27" s="14">
        <v>15034.28535</v>
      </c>
      <c r="K27" s="14">
        <v>14875.041495999998</v>
      </c>
      <c r="L27" s="14">
        <v>13929.248112000001</v>
      </c>
      <c r="M27" s="14">
        <v>15231.316464</v>
      </c>
      <c r="N27" s="14">
        <v>15651.562725</v>
      </c>
      <c r="O27" s="14">
        <v>17568.604052999999</v>
      </c>
      <c r="P27" s="14">
        <v>17436.214499999998</v>
      </c>
      <c r="Q27" s="14">
        <v>16908.625015000001</v>
      </c>
      <c r="R27" s="14">
        <v>18188.585025</v>
      </c>
    </row>
    <row r="28" spans="2:19">
      <c r="D28" s="2" t="s">
        <v>12</v>
      </c>
      <c r="G28" s="15">
        <v>484.54519200000004</v>
      </c>
      <c r="H28" s="15">
        <v>484.34286900000001</v>
      </c>
      <c r="I28" s="93">
        <v>484.96823100000006</v>
      </c>
      <c r="J28" s="15">
        <v>474.43104800000003</v>
      </c>
      <c r="K28" s="15">
        <v>470.30116800000002</v>
      </c>
      <c r="L28" s="15">
        <v>433.75296000000003</v>
      </c>
      <c r="M28" s="15">
        <v>476.23392000000001</v>
      </c>
      <c r="N28" s="15">
        <v>495.9126</v>
      </c>
      <c r="O28" s="15">
        <v>556.87212</v>
      </c>
      <c r="P28" s="15">
        <v>559.76110000000006</v>
      </c>
      <c r="Q28" s="15">
        <v>550.25209000000007</v>
      </c>
      <c r="R28" s="15">
        <v>579.11782500000004</v>
      </c>
    </row>
    <row r="29" spans="2:19">
      <c r="D29" s="2" t="s">
        <v>13</v>
      </c>
      <c r="G29" s="15">
        <v>2895.3900079999999</v>
      </c>
      <c r="H29" s="15">
        <v>2897.6569869999998</v>
      </c>
      <c r="I29" s="93">
        <v>2881.7812650000001</v>
      </c>
      <c r="J29" s="15">
        <v>2755.7450830000002</v>
      </c>
      <c r="K29" s="15">
        <v>2775.6261339999996</v>
      </c>
      <c r="L29" s="15">
        <v>2536.1092320000002</v>
      </c>
      <c r="M29" s="15">
        <v>2755.7258400000001</v>
      </c>
      <c r="N29" s="15">
        <v>2649.3617849999996</v>
      </c>
      <c r="O29" s="15">
        <v>2963.0068019999999</v>
      </c>
      <c r="P29" s="15">
        <v>2913.8708000000001</v>
      </c>
      <c r="Q29" s="15">
        <v>2805.4262150000004</v>
      </c>
      <c r="R29" s="15">
        <v>2993.4079500000003</v>
      </c>
    </row>
    <row r="30" spans="2:19">
      <c r="D30" s="2" t="s">
        <v>14</v>
      </c>
      <c r="G30" s="15">
        <v>10409.726224</v>
      </c>
      <c r="H30" s="15">
        <v>10407.85492</v>
      </c>
      <c r="I30" s="93">
        <v>10414.358559</v>
      </c>
      <c r="J30" s="15">
        <v>10130.442419999999</v>
      </c>
      <c r="K30" s="15">
        <v>10034.858641999999</v>
      </c>
      <c r="L30" s="15">
        <v>9512.9622720000007</v>
      </c>
      <c r="M30" s="15">
        <v>10435.635096</v>
      </c>
      <c r="N30" s="15">
        <v>10866.790424999999</v>
      </c>
      <c r="O30" s="15">
        <v>12198.412505999999</v>
      </c>
      <c r="P30" s="15">
        <v>12199.818499999999</v>
      </c>
      <c r="Q30" s="15">
        <v>11944.434884999999</v>
      </c>
      <c r="R30" s="15">
        <v>12972.607049999999</v>
      </c>
    </row>
    <row r="31" spans="2:19">
      <c r="D31" s="2" t="s">
        <v>15</v>
      </c>
      <c r="G31" s="15">
        <v>427.56312000000003</v>
      </c>
      <c r="H31" s="15">
        <v>426.41026900000003</v>
      </c>
      <c r="I31" s="93">
        <v>427.06629900000001</v>
      </c>
      <c r="J31" s="15">
        <v>401.70534600000002</v>
      </c>
      <c r="K31" s="15">
        <v>401.59689800000001</v>
      </c>
      <c r="L31" s="15">
        <v>397.58049600000004</v>
      </c>
      <c r="M31" s="15">
        <v>434.83864799999998</v>
      </c>
      <c r="N31" s="15">
        <v>453.53077500000001</v>
      </c>
      <c r="O31" s="15">
        <v>509.99188799999996</v>
      </c>
      <c r="P31" s="15">
        <v>525.8383</v>
      </c>
      <c r="Q31" s="15">
        <v>504.47283500000003</v>
      </c>
      <c r="R31" s="15">
        <v>573.68122500000004</v>
      </c>
    </row>
    <row r="32" spans="2:19">
      <c r="D32" s="2" t="s">
        <v>16</v>
      </c>
      <c r="G32" s="15">
        <v>1417.9131120000002</v>
      </c>
      <c r="H32" s="15">
        <v>1400.4152729999998</v>
      </c>
      <c r="I32" s="93">
        <v>1404.8601269999999</v>
      </c>
      <c r="J32" s="15">
        <v>1271.9614530000001</v>
      </c>
      <c r="K32" s="15">
        <v>1192.6586539999998</v>
      </c>
      <c r="L32" s="15">
        <v>1048.8431519999999</v>
      </c>
      <c r="M32" s="15">
        <v>1128.8829599999999</v>
      </c>
      <c r="N32" s="15">
        <v>1185.96714</v>
      </c>
      <c r="O32" s="15">
        <v>1340.320737</v>
      </c>
      <c r="P32" s="15">
        <v>1236.9258</v>
      </c>
      <c r="Q32" s="15">
        <v>1104.03899</v>
      </c>
      <c r="R32" s="15">
        <v>1069.7709749999999</v>
      </c>
    </row>
    <row r="33" spans="1:18" ht="9.75" customHeight="1">
      <c r="G33" s="15"/>
      <c r="H33" s="15"/>
      <c r="I33" s="11"/>
      <c r="J33" s="15"/>
      <c r="K33" s="15"/>
      <c r="L33" s="15"/>
      <c r="M33" s="15" t="s">
        <v>35</v>
      </c>
      <c r="N33" s="15" t="s">
        <v>35</v>
      </c>
      <c r="O33" s="15"/>
      <c r="P33" s="15"/>
      <c r="Q33" s="15"/>
      <c r="R33" s="15"/>
    </row>
    <row r="34" spans="1:18">
      <c r="C34" s="2" t="s">
        <v>102</v>
      </c>
      <c r="G34" s="15">
        <v>86269</v>
      </c>
      <c r="H34" s="15">
        <v>86320</v>
      </c>
      <c r="I34" s="93">
        <v>86187</v>
      </c>
      <c r="J34" s="15">
        <v>86005</v>
      </c>
      <c r="K34" s="15">
        <v>86779</v>
      </c>
      <c r="L34" s="15">
        <v>86937</v>
      </c>
      <c r="M34" s="15">
        <v>95084</v>
      </c>
      <c r="N34" s="15">
        <v>99012</v>
      </c>
      <c r="O34" s="15">
        <v>111013</v>
      </c>
      <c r="P34" s="15">
        <v>114460</v>
      </c>
      <c r="Q34" s="15">
        <v>113017</v>
      </c>
      <c r="R34" s="15">
        <v>128939</v>
      </c>
    </row>
    <row r="35" spans="1:18"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>
      <c r="A36" s="9"/>
      <c r="B36" s="9"/>
      <c r="C36" s="9"/>
      <c r="D36" s="9"/>
      <c r="E36" s="9"/>
      <c r="F36" s="9"/>
      <c r="G36" s="89"/>
      <c r="H36" s="89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>
      <c r="A37" s="2" t="s">
        <v>80</v>
      </c>
      <c r="G37" s="15"/>
      <c r="H37" s="15"/>
      <c r="I37" s="15"/>
      <c r="J37" s="15"/>
      <c r="K37" s="15"/>
      <c r="L37" s="15"/>
    </row>
    <row r="38" spans="1:18">
      <c r="A38" s="1"/>
      <c r="G38" s="15"/>
      <c r="H38" s="15"/>
      <c r="I38" s="15"/>
      <c r="J38" s="15"/>
      <c r="K38" s="15"/>
      <c r="L38" s="15"/>
    </row>
    <row r="39" spans="1:18">
      <c r="A39" s="79" t="s">
        <v>8</v>
      </c>
      <c r="B39" s="79"/>
      <c r="C39" s="79"/>
      <c r="D39" s="79"/>
      <c r="E39" s="79"/>
      <c r="F39" s="79"/>
      <c r="G39" s="79">
        <v>26.344000000000001</v>
      </c>
      <c r="H39" s="79">
        <v>26.332999999999998</v>
      </c>
      <c r="I39" s="79">
        <v>26.367000000000001</v>
      </c>
      <c r="J39" s="79">
        <v>26.369</v>
      </c>
      <c r="K39" s="79">
        <v>26.373999999999999</v>
      </c>
      <c r="L39" s="79">
        <v>26.384</v>
      </c>
      <c r="M39" s="79">
        <v>28.968</v>
      </c>
      <c r="N39" s="79">
        <v>30.164999999999999</v>
      </c>
      <c r="O39" s="79">
        <v>33.872999999999998</v>
      </c>
      <c r="P39" s="79">
        <v>34.9</v>
      </c>
      <c r="Q39" s="79">
        <v>34.655000000000001</v>
      </c>
      <c r="R39" s="79">
        <v>39.975000000000001</v>
      </c>
    </row>
    <row r="40" spans="1:18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</row>
    <row r="41" spans="1:18">
      <c r="A41" s="11" t="s">
        <v>81</v>
      </c>
      <c r="B41" s="11"/>
      <c r="C41" s="11"/>
      <c r="D41" s="11"/>
      <c r="E41" s="11"/>
      <c r="F41" s="11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11"/>
    </row>
    <row r="42" spans="1:18">
      <c r="A42" s="11" t="s">
        <v>103</v>
      </c>
      <c r="B42" s="11"/>
      <c r="C42" s="11"/>
      <c r="D42" s="11"/>
      <c r="E42" s="11"/>
      <c r="F42" s="11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11"/>
    </row>
    <row r="43" spans="1:18">
      <c r="A43" s="11" t="s">
        <v>104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">
    <mergeCell ref="A5:F5"/>
  </mergeCells>
  <pageMargins left="0.55118110236220474" right="0" top="0.74803149606299213" bottom="0" header="0" footer="0"/>
  <pageSetup scale="69" orientation="portrait" blackAndWhite="1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A045-86A8-4E6D-B06B-E129FB9409E9}">
  <sheetPr>
    <pageSetUpPr fitToPage="1"/>
  </sheetPr>
  <dimension ref="A1:R49"/>
  <sheetViews>
    <sheetView workbookViewId="0">
      <selection activeCell="F10" sqref="F10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>
      <c r="A1" s="1" t="s">
        <v>133</v>
      </c>
    </row>
    <row r="2" spans="1:18">
      <c r="A2" s="1" t="s">
        <v>100</v>
      </c>
      <c r="F2" s="1" t="s">
        <v>35</v>
      </c>
    </row>
    <row r="3" spans="1:18">
      <c r="A3" s="2" t="s">
        <v>0</v>
      </c>
    </row>
    <row r="4" spans="1:18">
      <c r="G4" s="9"/>
      <c r="I4" s="9"/>
      <c r="L4" s="9"/>
      <c r="M4" s="9"/>
      <c r="N4" s="9"/>
      <c r="O4" s="9"/>
      <c r="P4" s="9"/>
      <c r="Q4" s="9"/>
    </row>
    <row r="5" spans="1:18" s="128" customFormat="1" ht="18" customHeight="1">
      <c r="A5" s="206" t="s">
        <v>1</v>
      </c>
      <c r="B5" s="207"/>
      <c r="C5" s="207"/>
      <c r="D5" s="207"/>
      <c r="E5" s="207"/>
      <c r="F5" s="207"/>
      <c r="G5" s="129" t="s">
        <v>5</v>
      </c>
      <c r="H5" s="129" t="s">
        <v>23</v>
      </c>
      <c r="I5" s="129" t="s">
        <v>24</v>
      </c>
      <c r="J5" s="129" t="s">
        <v>26</v>
      </c>
      <c r="K5" s="129" t="s">
        <v>27</v>
      </c>
      <c r="L5" s="129" t="s">
        <v>36</v>
      </c>
      <c r="M5" s="130" t="s">
        <v>28</v>
      </c>
      <c r="N5" s="130" t="s">
        <v>29</v>
      </c>
      <c r="O5" s="130" t="s">
        <v>39</v>
      </c>
      <c r="P5" s="130" t="s">
        <v>31</v>
      </c>
      <c r="Q5" s="130" t="s">
        <v>32</v>
      </c>
      <c r="R5" s="131" t="s">
        <v>33</v>
      </c>
    </row>
    <row r="6" spans="1:18" ht="11.25" customHeight="1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+G9+G16</f>
        <v>173225.427</v>
      </c>
      <c r="H7" s="126">
        <f t="shared" si="0"/>
        <v>177671.427</v>
      </c>
      <c r="I7" s="126">
        <f t="shared" si="0"/>
        <v>178115.427</v>
      </c>
      <c r="J7" s="126">
        <f t="shared" si="0"/>
        <v>180182.427</v>
      </c>
      <c r="K7" s="126">
        <f t="shared" si="0"/>
        <v>186527.427</v>
      </c>
      <c r="L7" s="126">
        <f t="shared" si="0"/>
        <v>184325.427</v>
      </c>
      <c r="M7" s="126">
        <f t="shared" si="0"/>
        <v>200474.427</v>
      </c>
      <c r="N7" s="126">
        <f t="shared" si="0"/>
        <v>211607.427</v>
      </c>
      <c r="O7" s="126">
        <f t="shared" si="0"/>
        <v>237318.427</v>
      </c>
      <c r="P7" s="126">
        <f t="shared" si="0"/>
        <v>247885.427</v>
      </c>
      <c r="Q7" s="126">
        <f t="shared" si="0"/>
        <v>240070.427</v>
      </c>
      <c r="R7" s="126">
        <f t="shared" si="0"/>
        <v>273426.42700000003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>+G11+G12+1</f>
        <v>6158.4269999999997</v>
      </c>
      <c r="H9" s="13">
        <f>+H11+H12+1</f>
        <v>6157.4269999999997</v>
      </c>
      <c r="I9" s="13">
        <f>+I11+I12</f>
        <v>6011.4269999999997</v>
      </c>
      <c r="J9" s="13">
        <f>+J11+J12</f>
        <v>6011.4269999999997</v>
      </c>
      <c r="K9" s="13">
        <f>+K11+K12+1</f>
        <v>5895.4269999999997</v>
      </c>
      <c r="L9" s="13">
        <f>+L11+L12+1</f>
        <v>6462.4269999999997</v>
      </c>
      <c r="M9" s="13">
        <f t="shared" ref="M9:R9" si="1">+M11+M12+1</f>
        <v>6485.4269999999997</v>
      </c>
      <c r="N9" s="13">
        <f t="shared" si="1"/>
        <v>6515.4269999999997</v>
      </c>
      <c r="O9" s="13">
        <f t="shared" si="1"/>
        <v>6695.4269999999997</v>
      </c>
      <c r="P9" s="13">
        <f t="shared" si="1"/>
        <v>6668.4269999999997</v>
      </c>
      <c r="Q9" s="13">
        <f t="shared" si="1"/>
        <v>6659.4269999999997</v>
      </c>
      <c r="R9" s="13">
        <f t="shared" si="1"/>
        <v>7646.4269999999997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5974</v>
      </c>
      <c r="H11" s="15">
        <v>5973</v>
      </c>
      <c r="I11" s="15">
        <v>5828</v>
      </c>
      <c r="J11" s="15">
        <v>5828</v>
      </c>
      <c r="K11" s="15">
        <v>5711</v>
      </c>
      <c r="L11" s="15">
        <v>6278</v>
      </c>
      <c r="M11" s="15">
        <v>6301</v>
      </c>
      <c r="N11" s="15">
        <v>6331</v>
      </c>
      <c r="O11" s="15">
        <v>6511</v>
      </c>
      <c r="P11" s="15">
        <v>6484</v>
      </c>
      <c r="Q11" s="15">
        <v>6475</v>
      </c>
      <c r="R11" s="15">
        <v>7462</v>
      </c>
    </row>
    <row r="12" spans="1:18">
      <c r="B12" s="2" t="s">
        <v>135</v>
      </c>
      <c r="G12" s="14">
        <f t="shared" ref="G12:R12" si="2">+SUM(G13:G14)</f>
        <v>183.42699999999999</v>
      </c>
      <c r="H12" s="14">
        <f t="shared" si="2"/>
        <v>183.42699999999999</v>
      </c>
      <c r="I12" s="14">
        <f t="shared" si="2"/>
        <v>183.42699999999999</v>
      </c>
      <c r="J12" s="14">
        <f t="shared" si="2"/>
        <v>183.42699999999999</v>
      </c>
      <c r="K12" s="14">
        <f t="shared" si="2"/>
        <v>183.42699999999999</v>
      </c>
      <c r="L12" s="14">
        <f t="shared" si="2"/>
        <v>183.42699999999999</v>
      </c>
      <c r="M12" s="14">
        <f t="shared" si="2"/>
        <v>183.42699999999999</v>
      </c>
      <c r="N12" s="14">
        <f t="shared" si="2"/>
        <v>183.42699999999999</v>
      </c>
      <c r="O12" s="14">
        <f t="shared" si="2"/>
        <v>183.42699999999999</v>
      </c>
      <c r="P12" s="14">
        <f t="shared" si="2"/>
        <v>183.42699999999999</v>
      </c>
      <c r="Q12" s="14">
        <f t="shared" si="2"/>
        <v>183.42699999999999</v>
      </c>
      <c r="R12" s="14">
        <f t="shared" si="2"/>
        <v>183.42699999999999</v>
      </c>
    </row>
    <row r="13" spans="1:18">
      <c r="C13" s="2" t="s">
        <v>13</v>
      </c>
      <c r="G13" s="15">
        <v>36.826000000000001</v>
      </c>
      <c r="H13" s="15">
        <v>36.826000000000001</v>
      </c>
      <c r="I13" s="15">
        <v>36.826000000000001</v>
      </c>
      <c r="J13" s="15">
        <v>36.826000000000001</v>
      </c>
      <c r="K13" s="15">
        <v>36.826000000000001</v>
      </c>
      <c r="L13" s="15">
        <v>36.826000000000001</v>
      </c>
      <c r="M13" s="15">
        <v>36.826000000000001</v>
      </c>
      <c r="N13" s="15">
        <v>36.826000000000001</v>
      </c>
      <c r="O13" s="15">
        <v>36.826000000000001</v>
      </c>
      <c r="P13" s="15">
        <v>36.826000000000001</v>
      </c>
      <c r="Q13" s="15">
        <v>36.826000000000001</v>
      </c>
      <c r="R13" s="15">
        <v>36.826000000000001</v>
      </c>
    </row>
    <row r="14" spans="1:18">
      <c r="C14" s="2" t="s">
        <v>15</v>
      </c>
      <c r="G14" s="15">
        <v>146.601</v>
      </c>
      <c r="H14" s="15">
        <v>146.601</v>
      </c>
      <c r="I14" s="15">
        <v>146.601</v>
      </c>
      <c r="J14" s="15">
        <v>146.601</v>
      </c>
      <c r="K14" s="15">
        <v>146.601</v>
      </c>
      <c r="L14" s="15">
        <v>146.601</v>
      </c>
      <c r="M14" s="15">
        <v>146.601</v>
      </c>
      <c r="N14" s="15">
        <v>146.601</v>
      </c>
      <c r="O14" s="15">
        <v>146.601</v>
      </c>
      <c r="P14" s="15">
        <v>146.601</v>
      </c>
      <c r="Q14" s="15">
        <v>146.601</v>
      </c>
      <c r="R14" s="15">
        <v>146.601</v>
      </c>
    </row>
    <row r="15" spans="1:18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A16" s="1" t="s">
        <v>136</v>
      </c>
      <c r="B16" s="1"/>
      <c r="C16" s="1"/>
      <c r="D16" s="1"/>
      <c r="E16" s="1"/>
      <c r="F16" s="1"/>
      <c r="G16" s="13">
        <f t="shared" ref="G16:R16" si="3">+G18+G19</f>
        <v>167067</v>
      </c>
      <c r="H16" s="13">
        <f t="shared" si="3"/>
        <v>171514</v>
      </c>
      <c r="I16" s="13">
        <f t="shared" si="3"/>
        <v>172104</v>
      </c>
      <c r="J16" s="13">
        <f t="shared" si="3"/>
        <v>174171</v>
      </c>
      <c r="K16" s="13">
        <f t="shared" si="3"/>
        <v>180632</v>
      </c>
      <c r="L16" s="13">
        <f t="shared" si="3"/>
        <v>177863</v>
      </c>
      <c r="M16" s="13">
        <f t="shared" si="3"/>
        <v>193989</v>
      </c>
      <c r="N16" s="13">
        <f t="shared" si="3"/>
        <v>205092</v>
      </c>
      <c r="O16" s="13">
        <f t="shared" si="3"/>
        <v>230623</v>
      </c>
      <c r="P16" s="13">
        <f t="shared" si="3"/>
        <v>241217</v>
      </c>
      <c r="Q16" s="13">
        <f t="shared" si="3"/>
        <v>233411</v>
      </c>
      <c r="R16" s="13">
        <f t="shared" si="3"/>
        <v>265780</v>
      </c>
    </row>
    <row r="17" spans="1:18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B18" s="2" t="s">
        <v>134</v>
      </c>
      <c r="G18" s="15">
        <v>146429</v>
      </c>
      <c r="H18" s="15">
        <v>150940</v>
      </c>
      <c r="I18" s="15">
        <v>151769</v>
      </c>
      <c r="J18" s="15">
        <v>154782</v>
      </c>
      <c r="K18" s="15">
        <v>160567</v>
      </c>
      <c r="L18" s="15">
        <v>158696</v>
      </c>
      <c r="M18" s="15">
        <v>173545</v>
      </c>
      <c r="N18" s="15">
        <v>183522</v>
      </c>
      <c r="O18" s="15">
        <v>206513</v>
      </c>
      <c r="P18" s="15">
        <v>216968</v>
      </c>
      <c r="Q18" s="15">
        <v>210564</v>
      </c>
      <c r="R18" s="15">
        <v>241333</v>
      </c>
    </row>
    <row r="19" spans="1:18">
      <c r="B19" s="2" t="s">
        <v>135</v>
      </c>
      <c r="G19" s="14">
        <f t="shared" ref="G19:R19" si="4">+SUM(G20:G23)</f>
        <v>20638</v>
      </c>
      <c r="H19" s="14">
        <f t="shared" si="4"/>
        <v>20574</v>
      </c>
      <c r="I19" s="14">
        <f t="shared" si="4"/>
        <v>20335</v>
      </c>
      <c r="J19" s="14">
        <f>+SUM(J20:J23)+1</f>
        <v>19389</v>
      </c>
      <c r="K19" s="14">
        <f>+SUM(K20:K23)-1</f>
        <v>20065</v>
      </c>
      <c r="L19" s="14">
        <f>+SUM(L20:L23)-1</f>
        <v>19167</v>
      </c>
      <c r="M19" s="14">
        <f t="shared" si="4"/>
        <v>20444</v>
      </c>
      <c r="N19" s="14">
        <f>+SUM(N20:N23)+1</f>
        <v>21570</v>
      </c>
      <c r="O19" s="14">
        <f t="shared" si="4"/>
        <v>24110</v>
      </c>
      <c r="P19" s="14">
        <f t="shared" si="4"/>
        <v>24249</v>
      </c>
      <c r="Q19" s="14">
        <f>+SUM(Q20:Q23)+1</f>
        <v>22847</v>
      </c>
      <c r="R19" s="14">
        <f t="shared" si="4"/>
        <v>24447</v>
      </c>
    </row>
    <row r="20" spans="1:18">
      <c r="C20" s="2" t="s">
        <v>12</v>
      </c>
      <c r="G20" s="15">
        <v>5718</v>
      </c>
      <c r="H20" s="15">
        <v>5727</v>
      </c>
      <c r="I20" s="15">
        <v>5697</v>
      </c>
      <c r="J20" s="15">
        <v>5576</v>
      </c>
      <c r="K20" s="15">
        <v>5670</v>
      </c>
      <c r="L20" s="15">
        <v>5551</v>
      </c>
      <c r="M20" s="15">
        <v>6045</v>
      </c>
      <c r="N20" s="15">
        <v>6282</v>
      </c>
      <c r="O20" s="15">
        <v>7035</v>
      </c>
      <c r="P20" s="15">
        <v>7131</v>
      </c>
      <c r="Q20" s="15">
        <v>6936</v>
      </c>
      <c r="R20" s="15">
        <v>7749</v>
      </c>
    </row>
    <row r="21" spans="1:18">
      <c r="C21" s="2" t="s">
        <v>13</v>
      </c>
      <c r="G21" s="15">
        <v>14149</v>
      </c>
      <c r="H21" s="15">
        <v>14082</v>
      </c>
      <c r="I21" s="15">
        <v>13879</v>
      </c>
      <c r="J21" s="15">
        <v>13121</v>
      </c>
      <c r="K21" s="15">
        <v>13693</v>
      </c>
      <c r="L21" s="15">
        <v>12956</v>
      </c>
      <c r="M21" s="15">
        <v>13695</v>
      </c>
      <c r="N21" s="15">
        <v>14549</v>
      </c>
      <c r="O21" s="15">
        <v>16245</v>
      </c>
      <c r="P21" s="15">
        <v>16329</v>
      </c>
      <c r="Q21" s="15">
        <v>15166</v>
      </c>
      <c r="R21" s="15">
        <v>15905</v>
      </c>
    </row>
    <row r="22" spans="1:18">
      <c r="C22" s="2" t="s">
        <v>21</v>
      </c>
      <c r="G22" s="15">
        <v>540</v>
      </c>
      <c r="H22" s="15">
        <v>230</v>
      </c>
      <c r="I22" s="15">
        <v>231</v>
      </c>
      <c r="J22" s="15">
        <v>208</v>
      </c>
      <c r="K22" s="15">
        <v>208</v>
      </c>
      <c r="L22" s="15">
        <v>207</v>
      </c>
      <c r="M22" s="15">
        <v>227</v>
      </c>
      <c r="N22" s="15">
        <v>236</v>
      </c>
      <c r="O22" s="15">
        <v>266</v>
      </c>
      <c r="P22" s="15">
        <v>243</v>
      </c>
      <c r="Q22" s="15">
        <v>241</v>
      </c>
      <c r="R22" s="15">
        <v>277</v>
      </c>
    </row>
    <row r="23" spans="1:18">
      <c r="C23" s="2" t="s">
        <v>15</v>
      </c>
      <c r="G23" s="15">
        <v>231</v>
      </c>
      <c r="H23" s="15">
        <v>535</v>
      </c>
      <c r="I23" s="15">
        <v>528</v>
      </c>
      <c r="J23" s="15">
        <v>483</v>
      </c>
      <c r="K23" s="15">
        <v>495</v>
      </c>
      <c r="L23" s="15">
        <v>454</v>
      </c>
      <c r="M23" s="15">
        <v>477</v>
      </c>
      <c r="N23" s="15">
        <v>502</v>
      </c>
      <c r="O23" s="15">
        <v>564</v>
      </c>
      <c r="P23" s="15">
        <v>546</v>
      </c>
      <c r="Q23" s="15">
        <v>503</v>
      </c>
      <c r="R23" s="15">
        <v>516</v>
      </c>
    </row>
    <row r="24" spans="1:18">
      <c r="G24" s="15"/>
    </row>
    <row r="25" spans="1:18">
      <c r="A25" s="9"/>
      <c r="B25" s="9"/>
      <c r="C25" s="9"/>
      <c r="D25" s="9"/>
      <c r="E25" s="9"/>
      <c r="F25" s="9"/>
    </row>
    <row r="26" spans="1:18">
      <c r="A26" s="2" t="s">
        <v>80</v>
      </c>
    </row>
    <row r="27" spans="1:18">
      <c r="A27" s="1"/>
    </row>
    <row r="28" spans="1:18">
      <c r="A28" s="1"/>
    </row>
    <row r="29" spans="1:18">
      <c r="A29" s="1"/>
    </row>
    <row r="30" spans="1:18">
      <c r="A30" s="1"/>
    </row>
    <row r="31" spans="1:18">
      <c r="A31" s="1"/>
    </row>
    <row r="32" spans="1:18">
      <c r="A32" s="11" t="s">
        <v>22</v>
      </c>
    </row>
    <row r="33" spans="1:7">
      <c r="A33" s="11" t="s">
        <v>68</v>
      </c>
    </row>
    <row r="34" spans="1:7">
      <c r="A34" s="11" t="s">
        <v>142</v>
      </c>
      <c r="F34" s="11"/>
    </row>
    <row r="35" spans="1:7">
      <c r="A35" s="83" t="s">
        <v>35</v>
      </c>
    </row>
    <row r="36" spans="1:7">
      <c r="F36" s="11"/>
    </row>
    <row r="37" spans="1:7">
      <c r="A37" s="11" t="s">
        <v>35</v>
      </c>
      <c r="F37" s="11"/>
    </row>
    <row r="38" spans="1:7">
      <c r="F38" s="11"/>
    </row>
    <row r="45" spans="1:7">
      <c r="G45" s="79"/>
    </row>
    <row r="46" spans="1:7">
      <c r="G46" s="11"/>
    </row>
    <row r="47" spans="1:7">
      <c r="G47" s="11"/>
    </row>
    <row r="48" spans="1:7">
      <c r="G48" s="11"/>
    </row>
    <row r="49" spans="7:7">
      <c r="G49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8">
    <pageSetUpPr fitToPage="1"/>
  </sheetPr>
  <dimension ref="A1:Q43"/>
  <sheetViews>
    <sheetView workbookViewId="0">
      <selection activeCell="D11" sqref="D11"/>
    </sheetView>
  </sheetViews>
  <sheetFormatPr defaultRowHeight="16.5"/>
  <cols>
    <col min="1" max="4" width="2.28515625" style="2" customWidth="1"/>
    <col min="5" max="5" width="17.28515625" style="2" customWidth="1"/>
    <col min="6" max="17" width="10.140625" style="2" bestFit="1" customWidth="1"/>
    <col min="18" max="256" width="9.140625" style="2"/>
    <col min="257" max="260" width="2.28515625" style="2" customWidth="1"/>
    <col min="261" max="261" width="14.5703125" style="2" customWidth="1"/>
    <col min="262" max="273" width="9.7109375" style="2" customWidth="1"/>
    <col min="274" max="512" width="9.140625" style="2"/>
    <col min="513" max="516" width="2.28515625" style="2" customWidth="1"/>
    <col min="517" max="517" width="14.5703125" style="2" customWidth="1"/>
    <col min="518" max="529" width="9.7109375" style="2" customWidth="1"/>
    <col min="530" max="768" width="9.140625" style="2"/>
    <col min="769" max="772" width="2.28515625" style="2" customWidth="1"/>
    <col min="773" max="773" width="14.5703125" style="2" customWidth="1"/>
    <col min="774" max="785" width="9.7109375" style="2" customWidth="1"/>
    <col min="786" max="1024" width="9.140625" style="2"/>
    <col min="1025" max="1028" width="2.28515625" style="2" customWidth="1"/>
    <col min="1029" max="1029" width="14.5703125" style="2" customWidth="1"/>
    <col min="1030" max="1041" width="9.7109375" style="2" customWidth="1"/>
    <col min="1042" max="1280" width="9.140625" style="2"/>
    <col min="1281" max="1284" width="2.28515625" style="2" customWidth="1"/>
    <col min="1285" max="1285" width="14.5703125" style="2" customWidth="1"/>
    <col min="1286" max="1297" width="9.7109375" style="2" customWidth="1"/>
    <col min="1298" max="1536" width="9.140625" style="2"/>
    <col min="1537" max="1540" width="2.28515625" style="2" customWidth="1"/>
    <col min="1541" max="1541" width="14.5703125" style="2" customWidth="1"/>
    <col min="1542" max="1553" width="9.7109375" style="2" customWidth="1"/>
    <col min="1554" max="1792" width="9.140625" style="2"/>
    <col min="1793" max="1796" width="2.28515625" style="2" customWidth="1"/>
    <col min="1797" max="1797" width="14.5703125" style="2" customWidth="1"/>
    <col min="1798" max="1809" width="9.7109375" style="2" customWidth="1"/>
    <col min="1810" max="2048" width="9.140625" style="2"/>
    <col min="2049" max="2052" width="2.28515625" style="2" customWidth="1"/>
    <col min="2053" max="2053" width="14.5703125" style="2" customWidth="1"/>
    <col min="2054" max="2065" width="9.7109375" style="2" customWidth="1"/>
    <col min="2066" max="2304" width="9.140625" style="2"/>
    <col min="2305" max="2308" width="2.28515625" style="2" customWidth="1"/>
    <col min="2309" max="2309" width="14.5703125" style="2" customWidth="1"/>
    <col min="2310" max="2321" width="9.7109375" style="2" customWidth="1"/>
    <col min="2322" max="2560" width="9.140625" style="2"/>
    <col min="2561" max="2564" width="2.28515625" style="2" customWidth="1"/>
    <col min="2565" max="2565" width="14.5703125" style="2" customWidth="1"/>
    <col min="2566" max="2577" width="9.7109375" style="2" customWidth="1"/>
    <col min="2578" max="2816" width="9.140625" style="2"/>
    <col min="2817" max="2820" width="2.28515625" style="2" customWidth="1"/>
    <col min="2821" max="2821" width="14.5703125" style="2" customWidth="1"/>
    <col min="2822" max="2833" width="9.7109375" style="2" customWidth="1"/>
    <col min="2834" max="3072" width="9.140625" style="2"/>
    <col min="3073" max="3076" width="2.28515625" style="2" customWidth="1"/>
    <col min="3077" max="3077" width="14.5703125" style="2" customWidth="1"/>
    <col min="3078" max="3089" width="9.7109375" style="2" customWidth="1"/>
    <col min="3090" max="3328" width="9.140625" style="2"/>
    <col min="3329" max="3332" width="2.28515625" style="2" customWidth="1"/>
    <col min="3333" max="3333" width="14.5703125" style="2" customWidth="1"/>
    <col min="3334" max="3345" width="9.7109375" style="2" customWidth="1"/>
    <col min="3346" max="3584" width="9.140625" style="2"/>
    <col min="3585" max="3588" width="2.28515625" style="2" customWidth="1"/>
    <col min="3589" max="3589" width="14.5703125" style="2" customWidth="1"/>
    <col min="3590" max="3601" width="9.7109375" style="2" customWidth="1"/>
    <col min="3602" max="3840" width="9.140625" style="2"/>
    <col min="3841" max="3844" width="2.28515625" style="2" customWidth="1"/>
    <col min="3845" max="3845" width="14.5703125" style="2" customWidth="1"/>
    <col min="3846" max="3857" width="9.7109375" style="2" customWidth="1"/>
    <col min="3858" max="4096" width="9.140625" style="2"/>
    <col min="4097" max="4100" width="2.28515625" style="2" customWidth="1"/>
    <col min="4101" max="4101" width="14.5703125" style="2" customWidth="1"/>
    <col min="4102" max="4113" width="9.7109375" style="2" customWidth="1"/>
    <col min="4114" max="4352" width="9.140625" style="2"/>
    <col min="4353" max="4356" width="2.28515625" style="2" customWidth="1"/>
    <col min="4357" max="4357" width="14.5703125" style="2" customWidth="1"/>
    <col min="4358" max="4369" width="9.7109375" style="2" customWidth="1"/>
    <col min="4370" max="4608" width="9.140625" style="2"/>
    <col min="4609" max="4612" width="2.28515625" style="2" customWidth="1"/>
    <col min="4613" max="4613" width="14.5703125" style="2" customWidth="1"/>
    <col min="4614" max="4625" width="9.7109375" style="2" customWidth="1"/>
    <col min="4626" max="4864" width="9.140625" style="2"/>
    <col min="4865" max="4868" width="2.28515625" style="2" customWidth="1"/>
    <col min="4869" max="4869" width="14.5703125" style="2" customWidth="1"/>
    <col min="4870" max="4881" width="9.7109375" style="2" customWidth="1"/>
    <col min="4882" max="5120" width="9.140625" style="2"/>
    <col min="5121" max="5124" width="2.28515625" style="2" customWidth="1"/>
    <col min="5125" max="5125" width="14.5703125" style="2" customWidth="1"/>
    <col min="5126" max="5137" width="9.7109375" style="2" customWidth="1"/>
    <col min="5138" max="5376" width="9.140625" style="2"/>
    <col min="5377" max="5380" width="2.28515625" style="2" customWidth="1"/>
    <col min="5381" max="5381" width="14.5703125" style="2" customWidth="1"/>
    <col min="5382" max="5393" width="9.7109375" style="2" customWidth="1"/>
    <col min="5394" max="5632" width="9.140625" style="2"/>
    <col min="5633" max="5636" width="2.28515625" style="2" customWidth="1"/>
    <col min="5637" max="5637" width="14.5703125" style="2" customWidth="1"/>
    <col min="5638" max="5649" width="9.7109375" style="2" customWidth="1"/>
    <col min="5650" max="5888" width="9.140625" style="2"/>
    <col min="5889" max="5892" width="2.28515625" style="2" customWidth="1"/>
    <col min="5893" max="5893" width="14.5703125" style="2" customWidth="1"/>
    <col min="5894" max="5905" width="9.7109375" style="2" customWidth="1"/>
    <col min="5906" max="6144" width="9.140625" style="2"/>
    <col min="6145" max="6148" width="2.28515625" style="2" customWidth="1"/>
    <col min="6149" max="6149" width="14.5703125" style="2" customWidth="1"/>
    <col min="6150" max="6161" width="9.7109375" style="2" customWidth="1"/>
    <col min="6162" max="6400" width="9.140625" style="2"/>
    <col min="6401" max="6404" width="2.28515625" style="2" customWidth="1"/>
    <col min="6405" max="6405" width="14.5703125" style="2" customWidth="1"/>
    <col min="6406" max="6417" width="9.7109375" style="2" customWidth="1"/>
    <col min="6418" max="6656" width="9.140625" style="2"/>
    <col min="6657" max="6660" width="2.28515625" style="2" customWidth="1"/>
    <col min="6661" max="6661" width="14.5703125" style="2" customWidth="1"/>
    <col min="6662" max="6673" width="9.7109375" style="2" customWidth="1"/>
    <col min="6674" max="6912" width="9.140625" style="2"/>
    <col min="6913" max="6916" width="2.28515625" style="2" customWidth="1"/>
    <col min="6917" max="6917" width="14.5703125" style="2" customWidth="1"/>
    <col min="6918" max="6929" width="9.7109375" style="2" customWidth="1"/>
    <col min="6930" max="7168" width="9.140625" style="2"/>
    <col min="7169" max="7172" width="2.28515625" style="2" customWidth="1"/>
    <col min="7173" max="7173" width="14.5703125" style="2" customWidth="1"/>
    <col min="7174" max="7185" width="9.7109375" style="2" customWidth="1"/>
    <col min="7186" max="7424" width="9.140625" style="2"/>
    <col min="7425" max="7428" width="2.28515625" style="2" customWidth="1"/>
    <col min="7429" max="7429" width="14.5703125" style="2" customWidth="1"/>
    <col min="7430" max="7441" width="9.7109375" style="2" customWidth="1"/>
    <col min="7442" max="7680" width="9.140625" style="2"/>
    <col min="7681" max="7684" width="2.28515625" style="2" customWidth="1"/>
    <col min="7685" max="7685" width="14.5703125" style="2" customWidth="1"/>
    <col min="7686" max="7697" width="9.7109375" style="2" customWidth="1"/>
    <col min="7698" max="7936" width="9.140625" style="2"/>
    <col min="7937" max="7940" width="2.28515625" style="2" customWidth="1"/>
    <col min="7941" max="7941" width="14.5703125" style="2" customWidth="1"/>
    <col min="7942" max="7953" width="9.7109375" style="2" customWidth="1"/>
    <col min="7954" max="8192" width="9.140625" style="2"/>
    <col min="8193" max="8196" width="2.28515625" style="2" customWidth="1"/>
    <col min="8197" max="8197" width="14.5703125" style="2" customWidth="1"/>
    <col min="8198" max="8209" width="9.7109375" style="2" customWidth="1"/>
    <col min="8210" max="8448" width="9.140625" style="2"/>
    <col min="8449" max="8452" width="2.28515625" style="2" customWidth="1"/>
    <col min="8453" max="8453" width="14.5703125" style="2" customWidth="1"/>
    <col min="8454" max="8465" width="9.7109375" style="2" customWidth="1"/>
    <col min="8466" max="8704" width="9.140625" style="2"/>
    <col min="8705" max="8708" width="2.28515625" style="2" customWidth="1"/>
    <col min="8709" max="8709" width="14.5703125" style="2" customWidth="1"/>
    <col min="8710" max="8721" width="9.7109375" style="2" customWidth="1"/>
    <col min="8722" max="8960" width="9.140625" style="2"/>
    <col min="8961" max="8964" width="2.28515625" style="2" customWidth="1"/>
    <col min="8965" max="8965" width="14.5703125" style="2" customWidth="1"/>
    <col min="8966" max="8977" width="9.7109375" style="2" customWidth="1"/>
    <col min="8978" max="9216" width="9.140625" style="2"/>
    <col min="9217" max="9220" width="2.28515625" style="2" customWidth="1"/>
    <col min="9221" max="9221" width="14.5703125" style="2" customWidth="1"/>
    <col min="9222" max="9233" width="9.7109375" style="2" customWidth="1"/>
    <col min="9234" max="9472" width="9.140625" style="2"/>
    <col min="9473" max="9476" width="2.28515625" style="2" customWidth="1"/>
    <col min="9477" max="9477" width="14.5703125" style="2" customWidth="1"/>
    <col min="9478" max="9489" width="9.7109375" style="2" customWidth="1"/>
    <col min="9490" max="9728" width="9.140625" style="2"/>
    <col min="9729" max="9732" width="2.28515625" style="2" customWidth="1"/>
    <col min="9733" max="9733" width="14.5703125" style="2" customWidth="1"/>
    <col min="9734" max="9745" width="9.7109375" style="2" customWidth="1"/>
    <col min="9746" max="9984" width="9.140625" style="2"/>
    <col min="9985" max="9988" width="2.28515625" style="2" customWidth="1"/>
    <col min="9989" max="9989" width="14.5703125" style="2" customWidth="1"/>
    <col min="9990" max="10001" width="9.7109375" style="2" customWidth="1"/>
    <col min="10002" max="10240" width="9.140625" style="2"/>
    <col min="10241" max="10244" width="2.28515625" style="2" customWidth="1"/>
    <col min="10245" max="10245" width="14.5703125" style="2" customWidth="1"/>
    <col min="10246" max="10257" width="9.7109375" style="2" customWidth="1"/>
    <col min="10258" max="10496" width="9.140625" style="2"/>
    <col min="10497" max="10500" width="2.28515625" style="2" customWidth="1"/>
    <col min="10501" max="10501" width="14.5703125" style="2" customWidth="1"/>
    <col min="10502" max="10513" width="9.7109375" style="2" customWidth="1"/>
    <col min="10514" max="10752" width="9.140625" style="2"/>
    <col min="10753" max="10756" width="2.28515625" style="2" customWidth="1"/>
    <col min="10757" max="10757" width="14.5703125" style="2" customWidth="1"/>
    <col min="10758" max="10769" width="9.7109375" style="2" customWidth="1"/>
    <col min="10770" max="11008" width="9.140625" style="2"/>
    <col min="11009" max="11012" width="2.28515625" style="2" customWidth="1"/>
    <col min="11013" max="11013" width="14.5703125" style="2" customWidth="1"/>
    <col min="11014" max="11025" width="9.7109375" style="2" customWidth="1"/>
    <col min="11026" max="11264" width="9.140625" style="2"/>
    <col min="11265" max="11268" width="2.28515625" style="2" customWidth="1"/>
    <col min="11269" max="11269" width="14.5703125" style="2" customWidth="1"/>
    <col min="11270" max="11281" width="9.7109375" style="2" customWidth="1"/>
    <col min="11282" max="11520" width="9.140625" style="2"/>
    <col min="11521" max="11524" width="2.28515625" style="2" customWidth="1"/>
    <col min="11525" max="11525" width="14.5703125" style="2" customWidth="1"/>
    <col min="11526" max="11537" width="9.7109375" style="2" customWidth="1"/>
    <col min="11538" max="11776" width="9.140625" style="2"/>
    <col min="11777" max="11780" width="2.28515625" style="2" customWidth="1"/>
    <col min="11781" max="11781" width="14.5703125" style="2" customWidth="1"/>
    <col min="11782" max="11793" width="9.7109375" style="2" customWidth="1"/>
    <col min="11794" max="12032" width="9.140625" style="2"/>
    <col min="12033" max="12036" width="2.28515625" style="2" customWidth="1"/>
    <col min="12037" max="12037" width="14.5703125" style="2" customWidth="1"/>
    <col min="12038" max="12049" width="9.7109375" style="2" customWidth="1"/>
    <col min="12050" max="12288" width="9.140625" style="2"/>
    <col min="12289" max="12292" width="2.28515625" style="2" customWidth="1"/>
    <col min="12293" max="12293" width="14.5703125" style="2" customWidth="1"/>
    <col min="12294" max="12305" width="9.7109375" style="2" customWidth="1"/>
    <col min="12306" max="12544" width="9.140625" style="2"/>
    <col min="12545" max="12548" width="2.28515625" style="2" customWidth="1"/>
    <col min="12549" max="12549" width="14.5703125" style="2" customWidth="1"/>
    <col min="12550" max="12561" width="9.7109375" style="2" customWidth="1"/>
    <col min="12562" max="12800" width="9.140625" style="2"/>
    <col min="12801" max="12804" width="2.28515625" style="2" customWidth="1"/>
    <col min="12805" max="12805" width="14.5703125" style="2" customWidth="1"/>
    <col min="12806" max="12817" width="9.7109375" style="2" customWidth="1"/>
    <col min="12818" max="13056" width="9.140625" style="2"/>
    <col min="13057" max="13060" width="2.28515625" style="2" customWidth="1"/>
    <col min="13061" max="13061" width="14.5703125" style="2" customWidth="1"/>
    <col min="13062" max="13073" width="9.7109375" style="2" customWidth="1"/>
    <col min="13074" max="13312" width="9.140625" style="2"/>
    <col min="13313" max="13316" width="2.28515625" style="2" customWidth="1"/>
    <col min="13317" max="13317" width="14.5703125" style="2" customWidth="1"/>
    <col min="13318" max="13329" width="9.7109375" style="2" customWidth="1"/>
    <col min="13330" max="13568" width="9.140625" style="2"/>
    <col min="13569" max="13572" width="2.28515625" style="2" customWidth="1"/>
    <col min="13573" max="13573" width="14.5703125" style="2" customWidth="1"/>
    <col min="13574" max="13585" width="9.7109375" style="2" customWidth="1"/>
    <col min="13586" max="13824" width="9.140625" style="2"/>
    <col min="13825" max="13828" width="2.28515625" style="2" customWidth="1"/>
    <col min="13829" max="13829" width="14.5703125" style="2" customWidth="1"/>
    <col min="13830" max="13841" width="9.7109375" style="2" customWidth="1"/>
    <col min="13842" max="14080" width="9.140625" style="2"/>
    <col min="14081" max="14084" width="2.28515625" style="2" customWidth="1"/>
    <col min="14085" max="14085" width="14.5703125" style="2" customWidth="1"/>
    <col min="14086" max="14097" width="9.7109375" style="2" customWidth="1"/>
    <col min="14098" max="14336" width="9.140625" style="2"/>
    <col min="14337" max="14340" width="2.28515625" style="2" customWidth="1"/>
    <col min="14341" max="14341" width="14.5703125" style="2" customWidth="1"/>
    <col min="14342" max="14353" width="9.7109375" style="2" customWidth="1"/>
    <col min="14354" max="14592" width="9.140625" style="2"/>
    <col min="14593" max="14596" width="2.28515625" style="2" customWidth="1"/>
    <col min="14597" max="14597" width="14.5703125" style="2" customWidth="1"/>
    <col min="14598" max="14609" width="9.7109375" style="2" customWidth="1"/>
    <col min="14610" max="14848" width="9.140625" style="2"/>
    <col min="14849" max="14852" width="2.28515625" style="2" customWidth="1"/>
    <col min="14853" max="14853" width="14.5703125" style="2" customWidth="1"/>
    <col min="14854" max="14865" width="9.7109375" style="2" customWidth="1"/>
    <col min="14866" max="15104" width="9.140625" style="2"/>
    <col min="15105" max="15108" width="2.28515625" style="2" customWidth="1"/>
    <col min="15109" max="15109" width="14.5703125" style="2" customWidth="1"/>
    <col min="15110" max="15121" width="9.7109375" style="2" customWidth="1"/>
    <col min="15122" max="15360" width="9.140625" style="2"/>
    <col min="15361" max="15364" width="2.28515625" style="2" customWidth="1"/>
    <col min="15365" max="15365" width="14.5703125" style="2" customWidth="1"/>
    <col min="15366" max="15377" width="9.7109375" style="2" customWidth="1"/>
    <col min="15378" max="15616" width="9.140625" style="2"/>
    <col min="15617" max="15620" width="2.28515625" style="2" customWidth="1"/>
    <col min="15621" max="15621" width="14.5703125" style="2" customWidth="1"/>
    <col min="15622" max="15633" width="9.7109375" style="2" customWidth="1"/>
    <col min="15634" max="15872" width="9.140625" style="2"/>
    <col min="15873" max="15876" width="2.28515625" style="2" customWidth="1"/>
    <col min="15877" max="15877" width="14.5703125" style="2" customWidth="1"/>
    <col min="15878" max="15889" width="9.7109375" style="2" customWidth="1"/>
    <col min="15890" max="16128" width="9.140625" style="2"/>
    <col min="16129" max="16132" width="2.28515625" style="2" customWidth="1"/>
    <col min="16133" max="16133" width="14.5703125" style="2" customWidth="1"/>
    <col min="16134" max="16145" width="9.7109375" style="2" customWidth="1"/>
    <col min="16146" max="16384" width="9.140625" style="2"/>
  </cols>
  <sheetData>
    <row r="1" spans="1:17">
      <c r="A1" s="1" t="s">
        <v>25</v>
      </c>
      <c r="B1" s="1"/>
    </row>
    <row r="2" spans="1:17">
      <c r="A2" s="1" t="s">
        <v>105</v>
      </c>
      <c r="B2" s="1"/>
    </row>
    <row r="3" spans="1:17">
      <c r="A3" s="2" t="s">
        <v>0</v>
      </c>
    </row>
    <row r="4" spans="1:17" ht="12" customHeight="1"/>
    <row r="5" spans="1:17" ht="18" customHeight="1">
      <c r="A5" s="177" t="s">
        <v>1</v>
      </c>
      <c r="B5" s="178"/>
      <c r="C5" s="178"/>
      <c r="D5" s="178"/>
      <c r="E5" s="178"/>
      <c r="F5" s="18" t="s">
        <v>5</v>
      </c>
      <c r="G5" s="18" t="s">
        <v>23</v>
      </c>
      <c r="H5" s="18" t="s">
        <v>24</v>
      </c>
      <c r="I5" s="18" t="s">
        <v>26</v>
      </c>
      <c r="J5" s="18" t="s">
        <v>27</v>
      </c>
      <c r="K5" s="18" t="s">
        <v>36</v>
      </c>
      <c r="L5" s="18" t="s">
        <v>28</v>
      </c>
      <c r="M5" s="18" t="s">
        <v>29</v>
      </c>
      <c r="N5" s="18" t="s">
        <v>39</v>
      </c>
      <c r="O5" s="18" t="s">
        <v>31</v>
      </c>
      <c r="P5" s="18" t="s">
        <v>32</v>
      </c>
      <c r="Q5" s="39" t="s">
        <v>33</v>
      </c>
    </row>
    <row r="6" spans="1:17" ht="9" customHeight="1">
      <c r="A6" s="1"/>
      <c r="B6" s="1"/>
      <c r="C6" s="1"/>
      <c r="D6" s="1"/>
      <c r="E6" s="1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spans="1:17">
      <c r="A7" s="1" t="s">
        <v>17</v>
      </c>
      <c r="E7" s="1"/>
      <c r="F7" s="21">
        <v>1152945.7054999999</v>
      </c>
      <c r="G7" s="21">
        <v>1155068.9857700001</v>
      </c>
      <c r="H7" s="21">
        <v>1172771.6152979999</v>
      </c>
      <c r="I7" s="21">
        <v>1180204.68979</v>
      </c>
      <c r="J7" s="21">
        <v>1167500.8677360001</v>
      </c>
      <c r="K7" s="21">
        <v>1163067.5122199999</v>
      </c>
      <c r="L7" s="21">
        <v>1164688.1066000001</v>
      </c>
      <c r="M7" s="21">
        <v>1169108.9624600001</v>
      </c>
      <c r="N7" s="21">
        <v>1178643.3357309999</v>
      </c>
      <c r="O7" s="21">
        <v>1175725.8364435001</v>
      </c>
      <c r="P7" s="21">
        <v>1157585.830941</v>
      </c>
      <c r="Q7" s="21">
        <v>1155237.016976</v>
      </c>
    </row>
    <row r="8" spans="1:17" ht="6.75" customHeight="1"/>
    <row r="9" spans="1:17">
      <c r="A9" s="1" t="s">
        <v>35</v>
      </c>
      <c r="B9" s="1" t="s">
        <v>59</v>
      </c>
      <c r="F9" s="82">
        <v>720866</v>
      </c>
      <c r="G9" s="82">
        <v>721319</v>
      </c>
      <c r="H9" s="82">
        <v>739765</v>
      </c>
      <c r="I9" s="82">
        <v>755219</v>
      </c>
      <c r="J9" s="82">
        <v>747410</v>
      </c>
      <c r="K9" s="82">
        <v>746699</v>
      </c>
      <c r="L9" s="82">
        <v>748493</v>
      </c>
      <c r="M9" s="82">
        <v>753808</v>
      </c>
      <c r="N9" s="82">
        <v>767260</v>
      </c>
      <c r="O9" s="82">
        <v>758134</v>
      </c>
      <c r="P9" s="82">
        <v>740346</v>
      </c>
      <c r="Q9" s="82">
        <v>742057</v>
      </c>
    </row>
    <row r="10" spans="1:17">
      <c r="C10" s="2" t="s">
        <v>87</v>
      </c>
      <c r="F10" s="14">
        <v>675932</v>
      </c>
      <c r="G10" s="14">
        <v>676394</v>
      </c>
      <c r="H10" s="14">
        <v>694817</v>
      </c>
      <c r="I10" s="14">
        <v>710298</v>
      </c>
      <c r="J10" s="14">
        <v>708037</v>
      </c>
      <c r="K10" s="14">
        <v>708972</v>
      </c>
      <c r="L10" s="14">
        <v>723524</v>
      </c>
      <c r="M10" s="14">
        <v>728843</v>
      </c>
      <c r="N10" s="14">
        <v>742255</v>
      </c>
      <c r="O10" s="14">
        <v>733106</v>
      </c>
      <c r="P10" s="14">
        <v>716571</v>
      </c>
      <c r="Q10" s="14">
        <v>719266</v>
      </c>
    </row>
    <row r="11" spans="1:17">
      <c r="D11" s="2" t="s">
        <v>88</v>
      </c>
      <c r="F11" s="15">
        <v>659872</v>
      </c>
      <c r="G11" s="15">
        <v>661696</v>
      </c>
      <c r="H11" s="15">
        <v>680117</v>
      </c>
      <c r="I11" s="15">
        <v>695598</v>
      </c>
      <c r="J11" s="15">
        <v>693339</v>
      </c>
      <c r="K11" s="15">
        <v>694286</v>
      </c>
      <c r="L11" s="15">
        <v>708838</v>
      </c>
      <c r="M11" s="15">
        <v>714157</v>
      </c>
      <c r="N11" s="15">
        <v>727569</v>
      </c>
      <c r="O11" s="15">
        <v>718420</v>
      </c>
      <c r="P11" s="15">
        <v>701885</v>
      </c>
      <c r="Q11" s="15">
        <v>704582</v>
      </c>
    </row>
    <row r="12" spans="1:17">
      <c r="D12" s="2" t="s">
        <v>2</v>
      </c>
      <c r="F12" s="15">
        <v>16045</v>
      </c>
      <c r="G12" s="15">
        <v>14686</v>
      </c>
      <c r="H12" s="15">
        <v>14685</v>
      </c>
      <c r="I12" s="15">
        <v>14685</v>
      </c>
      <c r="J12" s="15">
        <v>14684</v>
      </c>
      <c r="K12" s="15">
        <v>14673</v>
      </c>
      <c r="L12" s="15">
        <v>14673</v>
      </c>
      <c r="M12" s="15">
        <v>14673</v>
      </c>
      <c r="N12" s="15">
        <v>14673</v>
      </c>
      <c r="O12" s="15">
        <v>14673</v>
      </c>
      <c r="P12" s="15">
        <v>14673</v>
      </c>
      <c r="Q12" s="15">
        <v>14673</v>
      </c>
    </row>
    <row r="13" spans="1:17">
      <c r="D13" s="2" t="s">
        <v>89</v>
      </c>
      <c r="F13" s="15">
        <v>15</v>
      </c>
      <c r="G13" s="15">
        <v>12</v>
      </c>
      <c r="H13" s="15">
        <v>15</v>
      </c>
      <c r="I13" s="15">
        <v>15</v>
      </c>
      <c r="J13" s="15">
        <v>14</v>
      </c>
      <c r="K13" s="15">
        <v>13</v>
      </c>
      <c r="L13" s="15">
        <v>13</v>
      </c>
      <c r="M13" s="15">
        <v>13</v>
      </c>
      <c r="N13" s="15">
        <v>13</v>
      </c>
      <c r="O13" s="15">
        <v>13</v>
      </c>
      <c r="P13" s="15">
        <v>13</v>
      </c>
      <c r="Q13" s="15">
        <v>11</v>
      </c>
    </row>
    <row r="14" spans="1:17" ht="6.75" customHeight="1"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C15" s="2" t="s">
        <v>4</v>
      </c>
      <c r="F15" s="14">
        <v>44934</v>
      </c>
      <c r="G15" s="14">
        <v>44925</v>
      </c>
      <c r="H15" s="14">
        <v>44948</v>
      </c>
      <c r="I15" s="14">
        <v>44921</v>
      </c>
      <c r="J15" s="14">
        <v>39373</v>
      </c>
      <c r="K15" s="14">
        <v>37727</v>
      </c>
      <c r="L15" s="14">
        <v>24969</v>
      </c>
      <c r="M15" s="14">
        <v>24965</v>
      </c>
      <c r="N15" s="14">
        <v>25005</v>
      </c>
      <c r="O15" s="14">
        <v>25028</v>
      </c>
      <c r="P15" s="14">
        <v>23775</v>
      </c>
      <c r="Q15" s="14">
        <v>22791</v>
      </c>
    </row>
    <row r="16" spans="1:17">
      <c r="D16" s="2" t="s">
        <v>12</v>
      </c>
      <c r="F16" s="15">
        <v>22547</v>
      </c>
      <c r="G16" s="15">
        <v>22544</v>
      </c>
      <c r="H16" s="15">
        <v>22552</v>
      </c>
      <c r="I16" s="15">
        <v>22543</v>
      </c>
      <c r="J16" s="15">
        <v>20763</v>
      </c>
      <c r="K16" s="15">
        <v>20111</v>
      </c>
      <c r="L16" s="15">
        <v>7337</v>
      </c>
      <c r="M16" s="15">
        <v>7337</v>
      </c>
      <c r="N16" s="15">
        <v>7346</v>
      </c>
      <c r="O16" s="15">
        <v>7353</v>
      </c>
      <c r="P16" s="15">
        <v>7355</v>
      </c>
      <c r="Q16" s="15">
        <v>7356</v>
      </c>
    </row>
    <row r="17" spans="1:17">
      <c r="D17" s="2" t="s">
        <v>13</v>
      </c>
      <c r="F17" s="15">
        <v>21874</v>
      </c>
      <c r="G17" s="15">
        <v>21868</v>
      </c>
      <c r="H17" s="15">
        <v>21883</v>
      </c>
      <c r="I17" s="15">
        <v>21865</v>
      </c>
      <c r="J17" s="15">
        <v>18097</v>
      </c>
      <c r="K17" s="15">
        <v>17136</v>
      </c>
      <c r="L17" s="15">
        <v>17150</v>
      </c>
      <c r="M17" s="15">
        <v>17147</v>
      </c>
      <c r="N17" s="15">
        <v>17177</v>
      </c>
      <c r="O17" s="15">
        <v>17192</v>
      </c>
      <c r="P17" s="15">
        <v>15937</v>
      </c>
      <c r="Q17" s="15">
        <v>14984</v>
      </c>
    </row>
    <row r="18" spans="1:17">
      <c r="D18" s="2" t="s">
        <v>14</v>
      </c>
      <c r="F18" s="15">
        <v>507</v>
      </c>
      <c r="G18" s="15">
        <v>507</v>
      </c>
      <c r="H18" s="15">
        <v>507</v>
      </c>
      <c r="I18" s="15">
        <v>507</v>
      </c>
      <c r="J18" s="15">
        <v>507</v>
      </c>
      <c r="K18" s="15">
        <v>475</v>
      </c>
      <c r="L18" s="15">
        <v>476</v>
      </c>
      <c r="M18" s="15">
        <v>475</v>
      </c>
      <c r="N18" s="15">
        <v>476</v>
      </c>
      <c r="O18" s="15">
        <v>477</v>
      </c>
      <c r="P18" s="15">
        <v>477</v>
      </c>
      <c r="Q18" s="15">
        <v>445</v>
      </c>
    </row>
    <row r="19" spans="1:17">
      <c r="D19" s="2" t="s">
        <v>15</v>
      </c>
      <c r="F19" s="15">
        <v>6</v>
      </c>
      <c r="G19" s="15">
        <v>6</v>
      </c>
      <c r="H19" s="15">
        <v>6</v>
      </c>
      <c r="I19" s="15">
        <v>6</v>
      </c>
      <c r="J19" s="15">
        <v>6</v>
      </c>
      <c r="K19" s="15">
        <v>6</v>
      </c>
      <c r="L19" s="15">
        <v>6</v>
      </c>
      <c r="M19" s="15">
        <v>6</v>
      </c>
      <c r="N19" s="15">
        <v>6</v>
      </c>
      <c r="O19" s="15">
        <v>6</v>
      </c>
      <c r="P19" s="15">
        <v>6</v>
      </c>
      <c r="Q19" s="15">
        <v>6</v>
      </c>
    </row>
    <row r="20" spans="1:17" ht="9.75" customHeight="1"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>
      <c r="A21" s="1"/>
      <c r="B21" s="1" t="s">
        <v>125</v>
      </c>
      <c r="C21" s="1"/>
      <c r="D21" s="1"/>
      <c r="E21" s="1"/>
      <c r="F21" s="13">
        <v>432079.70549999998</v>
      </c>
      <c r="G21" s="13">
        <v>433749.98577000003</v>
      </c>
      <c r="H21" s="13">
        <v>433006.61529799999</v>
      </c>
      <c r="I21" s="13">
        <v>424985.68978999997</v>
      </c>
      <c r="J21" s="13">
        <v>420090.86773599999</v>
      </c>
      <c r="K21" s="13">
        <v>416368.51221999998</v>
      </c>
      <c r="L21" s="13">
        <v>416195.1066</v>
      </c>
      <c r="M21" s="13">
        <v>415300.96246000001</v>
      </c>
      <c r="N21" s="13">
        <v>411383.335731</v>
      </c>
      <c r="O21" s="13">
        <v>417591.83644350001</v>
      </c>
      <c r="P21" s="13">
        <v>417239.83094100002</v>
      </c>
      <c r="Q21" s="13">
        <v>413180.01697599998</v>
      </c>
    </row>
    <row r="22" spans="1:17">
      <c r="C22" s="2" t="s">
        <v>87</v>
      </c>
      <c r="F22" s="14">
        <v>334802</v>
      </c>
      <c r="G22" s="14">
        <v>336457</v>
      </c>
      <c r="H22" s="14">
        <v>335644</v>
      </c>
      <c r="I22" s="14">
        <v>328278</v>
      </c>
      <c r="J22" s="14">
        <v>323492</v>
      </c>
      <c r="K22" s="14">
        <v>319956</v>
      </c>
      <c r="L22" s="14">
        <v>322648</v>
      </c>
      <c r="M22" s="14">
        <v>321853</v>
      </c>
      <c r="N22" s="14">
        <v>318005</v>
      </c>
      <c r="O22" s="14">
        <v>314008</v>
      </c>
      <c r="P22" s="14">
        <v>313839</v>
      </c>
      <c r="Q22" s="14">
        <v>310881</v>
      </c>
    </row>
    <row r="23" spans="1:17">
      <c r="D23" s="2" t="s">
        <v>2</v>
      </c>
      <c r="F23" s="15">
        <v>281188</v>
      </c>
      <c r="G23" s="15">
        <v>281495</v>
      </c>
      <c r="H23" s="15">
        <v>280635</v>
      </c>
      <c r="I23" s="15">
        <v>276535</v>
      </c>
      <c r="J23" s="15">
        <v>272837</v>
      </c>
      <c r="K23" s="15">
        <v>269910</v>
      </c>
      <c r="L23" s="15">
        <v>272039</v>
      </c>
      <c r="M23" s="15">
        <v>271471</v>
      </c>
      <c r="N23" s="15">
        <v>268721</v>
      </c>
      <c r="O23" s="15">
        <v>265628</v>
      </c>
      <c r="P23" s="15">
        <v>265226</v>
      </c>
      <c r="Q23" s="15">
        <v>262930</v>
      </c>
    </row>
    <row r="24" spans="1:17">
      <c r="D24" s="2" t="s">
        <v>89</v>
      </c>
      <c r="F24" s="15">
        <v>53614</v>
      </c>
      <c r="G24" s="15">
        <v>54962</v>
      </c>
      <c r="H24" s="15">
        <v>55009</v>
      </c>
      <c r="I24" s="15">
        <v>51743</v>
      </c>
      <c r="J24" s="15">
        <v>50654</v>
      </c>
      <c r="K24" s="15">
        <v>50046</v>
      </c>
      <c r="L24" s="15">
        <v>50609</v>
      </c>
      <c r="M24" s="15">
        <v>50382</v>
      </c>
      <c r="N24" s="15">
        <v>49284</v>
      </c>
      <c r="O24" s="15">
        <v>48380</v>
      </c>
      <c r="P24" s="15">
        <v>48613</v>
      </c>
      <c r="Q24" s="15">
        <v>47951</v>
      </c>
    </row>
    <row r="25" spans="1:17">
      <c r="F25" s="15"/>
      <c r="G25" s="15"/>
      <c r="H25" s="15"/>
      <c r="J25" s="15"/>
      <c r="K25" s="15"/>
      <c r="L25" s="15"/>
      <c r="M25" s="15"/>
      <c r="N25" s="15"/>
      <c r="O25" s="15"/>
      <c r="P25" s="15"/>
      <c r="Q25" s="15"/>
    </row>
    <row r="26" spans="1:17">
      <c r="C26" s="2" t="s">
        <v>94</v>
      </c>
      <c r="F26" s="14">
        <v>21217.7055</v>
      </c>
      <c r="G26" s="14">
        <v>21255.985769999999</v>
      </c>
      <c r="H26" s="14">
        <v>21267.615298000001</v>
      </c>
      <c r="I26" s="14">
        <v>20682.689789999997</v>
      </c>
      <c r="J26" s="14">
        <v>20431.867736</v>
      </c>
      <c r="K26" s="14">
        <v>20300.512220000001</v>
      </c>
      <c r="L26" s="14">
        <v>17532.106599999999</v>
      </c>
      <c r="M26" s="14">
        <v>17508.962460000002</v>
      </c>
      <c r="N26" s="14">
        <v>17468.335730999999</v>
      </c>
      <c r="O26" s="14">
        <v>16923.8364435</v>
      </c>
      <c r="P26" s="14">
        <v>16661.830941</v>
      </c>
      <c r="Q26" s="14">
        <v>15692.016975999999</v>
      </c>
    </row>
    <row r="27" spans="1:17">
      <c r="D27" s="2" t="s">
        <v>12</v>
      </c>
      <c r="F27" s="15">
        <v>3388.3389999999999</v>
      </c>
      <c r="G27" s="15">
        <v>3387.3038000000001</v>
      </c>
      <c r="H27" s="15">
        <v>3389.8917999999999</v>
      </c>
      <c r="I27" s="15">
        <v>3376.3169999999996</v>
      </c>
      <c r="J27" s="15">
        <v>3378.521146</v>
      </c>
      <c r="K27" s="15">
        <v>3355.2941500000002</v>
      </c>
      <c r="L27" s="15">
        <v>533.73980000000006</v>
      </c>
      <c r="M27" s="15">
        <v>533.21070000000009</v>
      </c>
      <c r="N27" s="15">
        <v>534.25117900000009</v>
      </c>
      <c r="O27" s="15">
        <v>524.25432499999999</v>
      </c>
      <c r="P27" s="15">
        <v>520.08829500000002</v>
      </c>
      <c r="Q27" s="15">
        <v>483.51518400000003</v>
      </c>
    </row>
    <row r="28" spans="1:17">
      <c r="D28" s="2" t="s">
        <v>13</v>
      </c>
      <c r="F28" s="15">
        <v>3620.8617999999997</v>
      </c>
      <c r="G28" s="15">
        <v>3642.5295500000002</v>
      </c>
      <c r="H28" s="15">
        <v>3661.81666</v>
      </c>
      <c r="I28" s="15">
        <v>3544.3476599999995</v>
      </c>
      <c r="J28" s="15">
        <v>3487.8144419999999</v>
      </c>
      <c r="K28" s="15">
        <v>3384.9035400000002</v>
      </c>
      <c r="L28" s="15">
        <v>3400.1979200000001</v>
      </c>
      <c r="M28" s="15">
        <v>3393.6830400000003</v>
      </c>
      <c r="N28" s="15">
        <v>3353.7540960000001</v>
      </c>
      <c r="O28" s="15">
        <v>3223.6712550000002</v>
      </c>
      <c r="P28" s="15">
        <v>3192.240706</v>
      </c>
      <c r="Q28" s="15">
        <v>2933.136176</v>
      </c>
    </row>
    <row r="29" spans="1:17">
      <c r="D29" s="2" t="s">
        <v>14</v>
      </c>
      <c r="F29" s="15">
        <v>11699.981699999998</v>
      </c>
      <c r="G29" s="15">
        <v>11704.26024</v>
      </c>
      <c r="H29" s="15">
        <v>11708.329998000001</v>
      </c>
      <c r="I29" s="15">
        <v>11422.68239</v>
      </c>
      <c r="J29" s="15">
        <v>11317.939640000001</v>
      </c>
      <c r="K29" s="15">
        <v>11305.54638</v>
      </c>
      <c r="L29" s="15">
        <v>11319.74252</v>
      </c>
      <c r="M29" s="15">
        <v>11307.211080000001</v>
      </c>
      <c r="N29" s="15">
        <v>11324.040188999999</v>
      </c>
      <c r="O29" s="15">
        <v>11047.8772635</v>
      </c>
      <c r="P29" s="15">
        <v>10933.105030999999</v>
      </c>
      <c r="Q29" s="15">
        <v>10402.345616000001</v>
      </c>
    </row>
    <row r="30" spans="1:17">
      <c r="D30" s="2" t="s">
        <v>15</v>
      </c>
      <c r="F30" s="15">
        <v>471.85369999999995</v>
      </c>
      <c r="G30" s="15">
        <v>472.49484999999999</v>
      </c>
      <c r="H30" s="15">
        <v>460.54325999999992</v>
      </c>
      <c r="I30" s="15">
        <v>446.51137999999992</v>
      </c>
      <c r="J30" s="15">
        <v>446.45577200000002</v>
      </c>
      <c r="K30" s="15">
        <v>446.49911999999995</v>
      </c>
      <c r="L30" s="15">
        <v>447.71196000000003</v>
      </c>
      <c r="M30" s="15">
        <v>447.26814000000002</v>
      </c>
      <c r="N30" s="15">
        <v>447.15671000000003</v>
      </c>
      <c r="O30" s="15">
        <v>435.463595</v>
      </c>
      <c r="P30" s="15">
        <v>422.353229</v>
      </c>
      <c r="Q30" s="15">
        <v>428.38924800000001</v>
      </c>
    </row>
    <row r="31" spans="1:17">
      <c r="D31" s="2" t="s">
        <v>16</v>
      </c>
      <c r="F31" s="15">
        <v>2036.6693</v>
      </c>
      <c r="G31" s="15">
        <v>2049.3973300000002</v>
      </c>
      <c r="H31" s="15">
        <v>2047.03358</v>
      </c>
      <c r="I31" s="15">
        <v>1892.8313599999997</v>
      </c>
      <c r="J31" s="15">
        <v>1801.1367360000002</v>
      </c>
      <c r="K31" s="15">
        <v>1808.2690300000002</v>
      </c>
      <c r="L31" s="15">
        <v>1830.7144000000001</v>
      </c>
      <c r="M31" s="15">
        <v>1827.5895</v>
      </c>
      <c r="N31" s="15">
        <v>1809.1335570000001</v>
      </c>
      <c r="O31" s="15">
        <v>1692.570005</v>
      </c>
      <c r="P31" s="15">
        <v>1594.04368</v>
      </c>
      <c r="Q31" s="15">
        <v>1444.630752</v>
      </c>
    </row>
    <row r="32" spans="1:17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C33" s="2" t="s">
        <v>84</v>
      </c>
      <c r="F33" s="15">
        <v>76060</v>
      </c>
      <c r="G33" s="15">
        <v>76037</v>
      </c>
      <c r="H33" s="15">
        <v>76095</v>
      </c>
      <c r="I33" s="15">
        <v>76025</v>
      </c>
      <c r="J33" s="15">
        <v>76167</v>
      </c>
      <c r="K33" s="15">
        <v>76112</v>
      </c>
      <c r="L33" s="15">
        <v>76015</v>
      </c>
      <c r="M33" s="15">
        <v>75939</v>
      </c>
      <c r="N33" s="15">
        <v>75910</v>
      </c>
      <c r="O33" s="15">
        <v>86660</v>
      </c>
      <c r="P33" s="15">
        <v>86739</v>
      </c>
      <c r="Q33" s="15">
        <v>86607</v>
      </c>
    </row>
    <row r="34" spans="1:17">
      <c r="A34" s="9"/>
      <c r="B34" s="9"/>
      <c r="C34" s="9"/>
      <c r="D34" s="9"/>
      <c r="E34" s="9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>
      <c r="A35" s="2" t="s">
        <v>90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ht="8.25" customHeight="1">
      <c r="A36" s="1"/>
      <c r="B36" s="1"/>
      <c r="F36" s="15"/>
      <c r="G36" s="15"/>
      <c r="H36" s="15"/>
      <c r="I36" s="15"/>
      <c r="J36" s="15"/>
      <c r="L36" s="15"/>
      <c r="M36" s="15"/>
      <c r="N36" s="15"/>
      <c r="O36" s="15"/>
      <c r="P36" s="15"/>
      <c r="Q36" s="15"/>
    </row>
    <row r="37" spans="1:17">
      <c r="A37" s="2" t="s">
        <v>8</v>
      </c>
      <c r="F37" s="96">
        <v>26.184999999999999</v>
      </c>
      <c r="G37" s="96">
        <v>26.177</v>
      </c>
      <c r="H37" s="96">
        <v>26.196999999999999</v>
      </c>
      <c r="I37" s="96">
        <v>26.172999999999998</v>
      </c>
      <c r="J37" s="96">
        <v>26.222000000000001</v>
      </c>
      <c r="K37" s="96">
        <v>26.202999999999999</v>
      </c>
      <c r="L37" s="96">
        <v>26.228000000000002</v>
      </c>
      <c r="M37" s="96">
        <v>26.202000000000002</v>
      </c>
      <c r="N37" s="96">
        <v>26.257000000000001</v>
      </c>
      <c r="O37" s="96">
        <v>26.285</v>
      </c>
      <c r="P37" s="96">
        <v>26.286999999999999</v>
      </c>
      <c r="Q37" s="96">
        <v>26.288</v>
      </c>
    </row>
    <row r="38" spans="1:17" ht="9" customHeight="1">
      <c r="A38" s="1"/>
      <c r="B38" s="1"/>
      <c r="F38" s="15"/>
      <c r="G38" s="15"/>
      <c r="H38" s="15"/>
      <c r="I38" s="15"/>
      <c r="J38" s="15"/>
      <c r="L38" s="15"/>
      <c r="M38" s="15"/>
      <c r="N38" s="15"/>
      <c r="O38" s="15"/>
      <c r="P38" s="15"/>
      <c r="Q38" s="15"/>
    </row>
    <row r="39" spans="1:17">
      <c r="A39" s="11" t="s">
        <v>91</v>
      </c>
      <c r="B39" s="11"/>
      <c r="C39" s="11"/>
      <c r="D39" s="11"/>
      <c r="E39" s="11"/>
      <c r="F39" s="11"/>
    </row>
    <row r="40" spans="1:17">
      <c r="A40" s="11" t="s">
        <v>106</v>
      </c>
      <c r="B40" s="11"/>
      <c r="C40" s="11"/>
      <c r="D40" s="11"/>
      <c r="E40" s="11"/>
      <c r="F40" s="11"/>
    </row>
    <row r="43" spans="1:17">
      <c r="F43" s="11" t="s">
        <v>35</v>
      </c>
      <c r="G43" s="11" t="s">
        <v>35</v>
      </c>
      <c r="H43" s="11" t="s">
        <v>35</v>
      </c>
      <c r="I43" s="11"/>
      <c r="J43" s="11"/>
      <c r="K43" s="11"/>
    </row>
  </sheetData>
  <mergeCells count="1">
    <mergeCell ref="A5:E5"/>
  </mergeCells>
  <pageMargins left="0.55118110236220474" right="0" top="0.78740157480314965" bottom="0" header="0" footer="0"/>
  <pageSetup paperSize="9" scale="67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C6C5-6A56-4B75-A29B-E17072D1E40D}">
  <sheetPr>
    <pageSetUpPr fitToPage="1"/>
  </sheetPr>
  <dimension ref="A1:R50"/>
  <sheetViews>
    <sheetView workbookViewId="0">
      <selection activeCell="H11" sqref="H11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>
      <c r="A1" s="1" t="s">
        <v>133</v>
      </c>
    </row>
    <row r="2" spans="1:18">
      <c r="A2" s="1" t="s">
        <v>105</v>
      </c>
      <c r="F2" s="1" t="s">
        <v>35</v>
      </c>
    </row>
    <row r="3" spans="1:18">
      <c r="A3" s="2" t="s">
        <v>0</v>
      </c>
    </row>
    <row r="4" spans="1:18">
      <c r="G4" s="9"/>
      <c r="I4" s="9"/>
      <c r="L4" s="9"/>
      <c r="M4" s="9"/>
      <c r="N4" s="9"/>
      <c r="O4" s="9"/>
      <c r="P4" s="9"/>
      <c r="Q4" s="9"/>
    </row>
    <row r="5" spans="1:18" s="128" customFormat="1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6" t="s">
        <v>28</v>
      </c>
      <c r="N5" s="76" t="s">
        <v>29</v>
      </c>
      <c r="O5" s="76" t="s">
        <v>39</v>
      </c>
      <c r="P5" s="76" t="s">
        <v>31</v>
      </c>
      <c r="Q5" s="76" t="s">
        <v>32</v>
      </c>
      <c r="R5" s="78" t="s">
        <v>33</v>
      </c>
    </row>
    <row r="6" spans="1:18" ht="9.75" customHeight="1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+G9+G17</f>
        <v>152485.427</v>
      </c>
      <c r="H7" s="126">
        <f t="shared" si="0"/>
        <v>155536.427</v>
      </c>
      <c r="I7" s="126">
        <f t="shared" si="0"/>
        <v>154368.427</v>
      </c>
      <c r="J7" s="126">
        <f t="shared" si="0"/>
        <v>156444.427</v>
      </c>
      <c r="K7" s="126">
        <f t="shared" si="0"/>
        <v>156515.427</v>
      </c>
      <c r="L7" s="126">
        <f t="shared" si="0"/>
        <v>169886.427</v>
      </c>
      <c r="M7" s="126">
        <f t="shared" si="0"/>
        <v>171143.427</v>
      </c>
      <c r="N7" s="126">
        <f t="shared" si="0"/>
        <v>171962.427</v>
      </c>
      <c r="O7" s="126">
        <f t="shared" si="0"/>
        <v>170588.427</v>
      </c>
      <c r="P7" s="126">
        <f t="shared" si="0"/>
        <v>169330.427</v>
      </c>
      <c r="Q7" s="126">
        <f t="shared" si="0"/>
        <v>168786.427</v>
      </c>
      <c r="R7" s="126">
        <f t="shared" si="0"/>
        <v>176611.427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 t="shared" ref="G9:R9" si="1">+G11+G12</f>
        <v>6219.4269999999997</v>
      </c>
      <c r="H9" s="13">
        <f t="shared" si="1"/>
        <v>6219.4269999999997</v>
      </c>
      <c r="I9" s="13">
        <f t="shared" si="1"/>
        <v>5824.4269999999997</v>
      </c>
      <c r="J9" s="13">
        <f t="shared" si="1"/>
        <v>6565.4269999999997</v>
      </c>
      <c r="K9" s="13">
        <f t="shared" si="1"/>
        <v>6528.4269999999997</v>
      </c>
      <c r="L9" s="13">
        <f t="shared" si="1"/>
        <v>6524.4269999999997</v>
      </c>
      <c r="M9" s="13">
        <f t="shared" si="1"/>
        <v>6358.4269999999997</v>
      </c>
      <c r="N9" s="13">
        <f t="shared" si="1"/>
        <v>6339.4269999999997</v>
      </c>
      <c r="O9" s="13">
        <f t="shared" si="1"/>
        <v>6341.4269999999997</v>
      </c>
      <c r="P9" s="13">
        <f t="shared" si="1"/>
        <v>6342.4269999999997</v>
      </c>
      <c r="Q9" s="13">
        <f t="shared" si="1"/>
        <v>6293.4269999999997</v>
      </c>
      <c r="R9" s="13">
        <f t="shared" si="1"/>
        <v>6229.4269999999997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5869</v>
      </c>
      <c r="H11" s="15">
        <v>5869</v>
      </c>
      <c r="I11" s="15">
        <v>5474</v>
      </c>
      <c r="J11" s="15">
        <v>6215</v>
      </c>
      <c r="K11" s="15">
        <v>6178</v>
      </c>
      <c r="L11" s="15">
        <v>6174</v>
      </c>
      <c r="M11" s="15">
        <v>6175</v>
      </c>
      <c r="N11" s="15">
        <v>6156</v>
      </c>
      <c r="O11" s="15">
        <v>6158</v>
      </c>
      <c r="P11" s="15">
        <v>6159</v>
      </c>
      <c r="Q11" s="15">
        <v>6110</v>
      </c>
      <c r="R11" s="15">
        <v>6046</v>
      </c>
    </row>
    <row r="12" spans="1:18">
      <c r="B12" s="2" t="s">
        <v>135</v>
      </c>
      <c r="G12" s="14">
        <f>+SUM(G13:G15)+1</f>
        <v>350.42700000000002</v>
      </c>
      <c r="H12" s="14">
        <f>+SUM(H13:H15)+1</f>
        <v>350.42700000000002</v>
      </c>
      <c r="I12" s="14">
        <f>+SUM(I13:I15)+1</f>
        <v>350.42700000000002</v>
      </c>
      <c r="J12" s="14">
        <f>+SUM(J13:J15)+1</f>
        <v>350.42700000000002</v>
      </c>
      <c r="K12" s="14">
        <f>+SUM(K13:K15)+1</f>
        <v>350.42700000000002</v>
      </c>
      <c r="L12" s="14">
        <f t="shared" ref="L12:R12" si="2">+SUM(L13:L15)</f>
        <v>350.42700000000002</v>
      </c>
      <c r="M12" s="14">
        <f t="shared" si="2"/>
        <v>183.42699999999999</v>
      </c>
      <c r="N12" s="14">
        <f t="shared" si="2"/>
        <v>183.42699999999999</v>
      </c>
      <c r="O12" s="14">
        <f t="shared" si="2"/>
        <v>183.42699999999999</v>
      </c>
      <c r="P12" s="14">
        <f t="shared" si="2"/>
        <v>183.42699999999999</v>
      </c>
      <c r="Q12" s="14">
        <f t="shared" si="2"/>
        <v>183.42699999999999</v>
      </c>
      <c r="R12" s="14">
        <f t="shared" si="2"/>
        <v>183.42699999999999</v>
      </c>
    </row>
    <row r="13" spans="1:18">
      <c r="C13" s="2" t="s">
        <v>12</v>
      </c>
      <c r="G13" s="15">
        <v>166</v>
      </c>
      <c r="H13" s="15">
        <v>166</v>
      </c>
      <c r="I13" s="15">
        <v>166</v>
      </c>
      <c r="J13" s="15">
        <v>166</v>
      </c>
      <c r="K13" s="15">
        <v>166</v>
      </c>
      <c r="L13" s="15">
        <v>167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</row>
    <row r="14" spans="1:18">
      <c r="C14" s="2" t="s">
        <v>13</v>
      </c>
      <c r="G14" s="15">
        <v>36.826000000000001</v>
      </c>
      <c r="H14" s="15">
        <v>36.826000000000001</v>
      </c>
      <c r="I14" s="15">
        <v>36.826000000000001</v>
      </c>
      <c r="J14" s="15">
        <v>36.826000000000001</v>
      </c>
      <c r="K14" s="15">
        <v>36.826000000000001</v>
      </c>
      <c r="L14" s="15">
        <v>36.826000000000001</v>
      </c>
      <c r="M14" s="15">
        <v>36.826000000000001</v>
      </c>
      <c r="N14" s="15">
        <v>36.826000000000001</v>
      </c>
      <c r="O14" s="15">
        <v>36.826000000000001</v>
      </c>
      <c r="P14" s="15">
        <v>36.826000000000001</v>
      </c>
      <c r="Q14" s="15">
        <v>36.826000000000001</v>
      </c>
      <c r="R14" s="15">
        <v>36.826000000000001</v>
      </c>
    </row>
    <row r="15" spans="1:18">
      <c r="C15" s="2" t="s">
        <v>15</v>
      </c>
      <c r="G15" s="15">
        <v>146.601</v>
      </c>
      <c r="H15" s="15">
        <v>146.601</v>
      </c>
      <c r="I15" s="15">
        <v>146.601</v>
      </c>
      <c r="J15" s="15">
        <v>146.601</v>
      </c>
      <c r="K15" s="15">
        <v>146.601</v>
      </c>
      <c r="L15" s="15">
        <v>146.601</v>
      </c>
      <c r="M15" s="15">
        <v>146.601</v>
      </c>
      <c r="N15" s="15">
        <v>146.601</v>
      </c>
      <c r="O15" s="15">
        <v>146.601</v>
      </c>
      <c r="P15" s="15">
        <v>146.601</v>
      </c>
      <c r="Q15" s="15">
        <v>146.601</v>
      </c>
      <c r="R15" s="15">
        <v>146.601</v>
      </c>
    </row>
    <row r="16" spans="1:18"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>
      <c r="A17" s="1" t="s">
        <v>136</v>
      </c>
      <c r="B17" s="1"/>
      <c r="C17" s="1"/>
      <c r="D17" s="1"/>
      <c r="E17" s="1"/>
      <c r="F17" s="1"/>
      <c r="G17" s="13">
        <f t="shared" ref="G17:R17" si="3">+G19+G20</f>
        <v>146266</v>
      </c>
      <c r="H17" s="13">
        <f t="shared" si="3"/>
        <v>149317</v>
      </c>
      <c r="I17" s="13">
        <f t="shared" si="3"/>
        <v>148544</v>
      </c>
      <c r="J17" s="13">
        <f t="shared" si="3"/>
        <v>149879</v>
      </c>
      <c r="K17" s="13">
        <f t="shared" si="3"/>
        <v>149987</v>
      </c>
      <c r="L17" s="13">
        <f t="shared" si="3"/>
        <v>163362</v>
      </c>
      <c r="M17" s="13">
        <f t="shared" si="3"/>
        <v>164785</v>
      </c>
      <c r="N17" s="13">
        <f t="shared" si="3"/>
        <v>165623</v>
      </c>
      <c r="O17" s="13">
        <f t="shared" si="3"/>
        <v>164247</v>
      </c>
      <c r="P17" s="13">
        <f t="shared" si="3"/>
        <v>162988</v>
      </c>
      <c r="Q17" s="13">
        <f t="shared" si="3"/>
        <v>162493</v>
      </c>
      <c r="R17" s="13">
        <f t="shared" si="3"/>
        <v>170382</v>
      </c>
    </row>
    <row r="18" spans="1:18"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>
      <c r="B19" s="2" t="s">
        <v>134</v>
      </c>
      <c r="G19" s="15">
        <v>119840</v>
      </c>
      <c r="H19" s="15">
        <v>122460</v>
      </c>
      <c r="I19" s="15">
        <v>121913</v>
      </c>
      <c r="J19" s="15">
        <v>123970</v>
      </c>
      <c r="K19" s="15">
        <v>125183</v>
      </c>
      <c r="L19" s="15">
        <v>138752</v>
      </c>
      <c r="M19" s="15">
        <v>139984</v>
      </c>
      <c r="N19" s="15">
        <v>140864</v>
      </c>
      <c r="O19" s="15">
        <v>139887</v>
      </c>
      <c r="P19" s="15">
        <v>139616</v>
      </c>
      <c r="Q19" s="15">
        <v>139762</v>
      </c>
      <c r="R19" s="15">
        <v>148882</v>
      </c>
    </row>
    <row r="20" spans="1:18">
      <c r="B20" s="2" t="s">
        <v>135</v>
      </c>
      <c r="G20" s="14">
        <f>+SUM(G21:G24)</f>
        <v>26426</v>
      </c>
      <c r="H20" s="14">
        <f>+SUM(H21:H24)</f>
        <v>26857</v>
      </c>
      <c r="I20" s="14">
        <f>+SUM(I21:I24)-1</f>
        <v>26631</v>
      </c>
      <c r="J20" s="14">
        <f>+SUM(J21:J24)</f>
        <v>25909</v>
      </c>
      <c r="K20" s="14">
        <f>+SUM(K21:K24)</f>
        <v>24804</v>
      </c>
      <c r="L20" s="14">
        <f>+SUM(L21:L24)</f>
        <v>24610</v>
      </c>
      <c r="M20" s="14">
        <f>+SUM(M21:M24)</f>
        <v>24801</v>
      </c>
      <c r="N20" s="14">
        <f>+SUM(N21:N24)-1</f>
        <v>24759</v>
      </c>
      <c r="O20" s="14">
        <f>+SUM(O21:O24)</f>
        <v>24360</v>
      </c>
      <c r="P20" s="14">
        <f>+SUM(P21:P24)</f>
        <v>23372</v>
      </c>
      <c r="Q20" s="14">
        <f>+SUM(Q21:Q24)</f>
        <v>22731</v>
      </c>
      <c r="R20" s="14">
        <f>+SUM(R21:R24)+1</f>
        <v>21500</v>
      </c>
    </row>
    <row r="21" spans="1:18">
      <c r="C21" s="2" t="s">
        <v>12</v>
      </c>
      <c r="G21" s="15">
        <v>6416</v>
      </c>
      <c r="H21" s="15">
        <v>6473</v>
      </c>
      <c r="I21" s="15">
        <v>6472</v>
      </c>
      <c r="J21" s="15">
        <v>6374</v>
      </c>
      <c r="K21" s="15">
        <v>6314</v>
      </c>
      <c r="L21" s="15">
        <v>6183</v>
      </c>
      <c r="M21" s="15">
        <v>6128</v>
      </c>
      <c r="N21" s="15">
        <v>6112</v>
      </c>
      <c r="O21" s="15">
        <v>6091</v>
      </c>
      <c r="P21" s="15">
        <v>5954</v>
      </c>
      <c r="Q21" s="15">
        <v>5953</v>
      </c>
      <c r="R21" s="15">
        <v>5793</v>
      </c>
    </row>
    <row r="22" spans="1:18">
      <c r="C22" s="2" t="s">
        <v>13</v>
      </c>
      <c r="G22" s="15">
        <v>18943</v>
      </c>
      <c r="H22" s="15">
        <v>19302</v>
      </c>
      <c r="I22" s="15">
        <v>19084</v>
      </c>
      <c r="J22" s="15">
        <v>18530</v>
      </c>
      <c r="K22" s="15">
        <v>17529</v>
      </c>
      <c r="L22" s="15">
        <v>17470</v>
      </c>
      <c r="M22" s="15">
        <v>17703</v>
      </c>
      <c r="N22" s="15">
        <v>17680</v>
      </c>
      <c r="O22" s="15">
        <v>17317</v>
      </c>
      <c r="P22" s="15">
        <v>16532</v>
      </c>
      <c r="Q22" s="15">
        <v>15928</v>
      </c>
      <c r="R22" s="15">
        <v>14907</v>
      </c>
    </row>
    <row r="23" spans="1:18">
      <c r="C23" s="2" t="s">
        <v>21</v>
      </c>
      <c r="G23" s="15">
        <v>277</v>
      </c>
      <c r="H23" s="15">
        <v>277</v>
      </c>
      <c r="I23" s="15">
        <v>277</v>
      </c>
      <c r="J23" s="15">
        <v>254</v>
      </c>
      <c r="K23" s="15">
        <v>254</v>
      </c>
      <c r="L23" s="15">
        <v>253</v>
      </c>
      <c r="M23" s="15">
        <v>253</v>
      </c>
      <c r="N23" s="15">
        <v>253</v>
      </c>
      <c r="O23" s="15">
        <v>254</v>
      </c>
      <c r="P23" s="15">
        <v>231</v>
      </c>
      <c r="Q23" s="15">
        <v>231</v>
      </c>
      <c r="R23" s="15">
        <v>230</v>
      </c>
    </row>
    <row r="24" spans="1:18">
      <c r="C24" s="2" t="s">
        <v>15</v>
      </c>
      <c r="G24" s="15">
        <v>790</v>
      </c>
      <c r="H24" s="15">
        <v>805</v>
      </c>
      <c r="I24" s="15">
        <v>799</v>
      </c>
      <c r="J24" s="15">
        <v>751</v>
      </c>
      <c r="K24" s="15">
        <v>707</v>
      </c>
      <c r="L24" s="15">
        <v>704</v>
      </c>
      <c r="M24" s="15">
        <v>717</v>
      </c>
      <c r="N24" s="15">
        <v>715</v>
      </c>
      <c r="O24" s="15">
        <v>698</v>
      </c>
      <c r="P24" s="15">
        <v>655</v>
      </c>
      <c r="Q24" s="15">
        <v>619</v>
      </c>
      <c r="R24" s="15">
        <v>569</v>
      </c>
    </row>
    <row r="25" spans="1:18">
      <c r="G25" s="15"/>
    </row>
    <row r="26" spans="1:18">
      <c r="A26" s="9"/>
      <c r="B26" s="9"/>
      <c r="C26" s="9"/>
      <c r="D26" s="9"/>
      <c r="E26" s="9"/>
      <c r="F26" s="9"/>
    </row>
    <row r="27" spans="1:18">
      <c r="A27" s="2" t="s">
        <v>80</v>
      </c>
    </row>
    <row r="28" spans="1:18">
      <c r="A28" s="1"/>
    </row>
    <row r="29" spans="1:18">
      <c r="A29" s="1"/>
    </row>
    <row r="30" spans="1:18">
      <c r="A30" s="1"/>
    </row>
    <row r="31" spans="1:18">
      <c r="A31" s="1"/>
    </row>
    <row r="32" spans="1:18">
      <c r="A32" s="1"/>
    </row>
    <row r="33" spans="1:7">
      <c r="A33" s="11" t="s">
        <v>22</v>
      </c>
    </row>
    <row r="34" spans="1:7">
      <c r="A34" s="11" t="s">
        <v>68</v>
      </c>
    </row>
    <row r="35" spans="1:7">
      <c r="A35" s="11" t="s">
        <v>141</v>
      </c>
      <c r="F35" s="11"/>
    </row>
    <row r="36" spans="1:7">
      <c r="A36" s="83" t="s">
        <v>35</v>
      </c>
    </row>
    <row r="37" spans="1:7">
      <c r="F37" s="11"/>
    </row>
    <row r="38" spans="1:7">
      <c r="A38" s="11" t="s">
        <v>35</v>
      </c>
      <c r="F38" s="11"/>
    </row>
    <row r="39" spans="1:7">
      <c r="F39" s="11"/>
    </row>
    <row r="46" spans="1:7">
      <c r="G46" s="79"/>
    </row>
    <row r="47" spans="1:7">
      <c r="G47" s="11"/>
    </row>
    <row r="48" spans="1:7">
      <c r="G48" s="11"/>
    </row>
    <row r="49" spans="7:7">
      <c r="G49" s="11"/>
    </row>
    <row r="50" spans="7:7">
      <c r="G50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29">
    <pageSetUpPr fitToPage="1"/>
  </sheetPr>
  <dimension ref="A1:Q46"/>
  <sheetViews>
    <sheetView workbookViewId="0"/>
  </sheetViews>
  <sheetFormatPr defaultRowHeight="16.5"/>
  <cols>
    <col min="1" max="4" width="2.28515625" style="2" customWidth="1"/>
    <col min="5" max="5" width="18" style="2" customWidth="1"/>
    <col min="6" max="17" width="10.140625" style="2" bestFit="1" customWidth="1"/>
    <col min="18" max="256" width="9.140625" style="2"/>
    <col min="257" max="260" width="2.28515625" style="2" customWidth="1"/>
    <col min="261" max="261" width="14.28515625" style="2" customWidth="1"/>
    <col min="262" max="262" width="9.5703125" style="2" customWidth="1"/>
    <col min="263" max="273" width="9.85546875" style="2" bestFit="1" customWidth="1"/>
    <col min="274" max="512" width="9.140625" style="2"/>
    <col min="513" max="516" width="2.28515625" style="2" customWidth="1"/>
    <col min="517" max="517" width="14.28515625" style="2" customWidth="1"/>
    <col min="518" max="518" width="9.5703125" style="2" customWidth="1"/>
    <col min="519" max="529" width="9.85546875" style="2" bestFit="1" customWidth="1"/>
    <col min="530" max="768" width="9.140625" style="2"/>
    <col min="769" max="772" width="2.28515625" style="2" customWidth="1"/>
    <col min="773" max="773" width="14.28515625" style="2" customWidth="1"/>
    <col min="774" max="774" width="9.5703125" style="2" customWidth="1"/>
    <col min="775" max="785" width="9.85546875" style="2" bestFit="1" customWidth="1"/>
    <col min="786" max="1024" width="9.140625" style="2"/>
    <col min="1025" max="1028" width="2.28515625" style="2" customWidth="1"/>
    <col min="1029" max="1029" width="14.28515625" style="2" customWidth="1"/>
    <col min="1030" max="1030" width="9.5703125" style="2" customWidth="1"/>
    <col min="1031" max="1041" width="9.85546875" style="2" bestFit="1" customWidth="1"/>
    <col min="1042" max="1280" width="9.140625" style="2"/>
    <col min="1281" max="1284" width="2.28515625" style="2" customWidth="1"/>
    <col min="1285" max="1285" width="14.28515625" style="2" customWidth="1"/>
    <col min="1286" max="1286" width="9.5703125" style="2" customWidth="1"/>
    <col min="1287" max="1297" width="9.85546875" style="2" bestFit="1" customWidth="1"/>
    <col min="1298" max="1536" width="9.140625" style="2"/>
    <col min="1537" max="1540" width="2.28515625" style="2" customWidth="1"/>
    <col min="1541" max="1541" width="14.28515625" style="2" customWidth="1"/>
    <col min="1542" max="1542" width="9.5703125" style="2" customWidth="1"/>
    <col min="1543" max="1553" width="9.85546875" style="2" bestFit="1" customWidth="1"/>
    <col min="1554" max="1792" width="9.140625" style="2"/>
    <col min="1793" max="1796" width="2.28515625" style="2" customWidth="1"/>
    <col min="1797" max="1797" width="14.28515625" style="2" customWidth="1"/>
    <col min="1798" max="1798" width="9.5703125" style="2" customWidth="1"/>
    <col min="1799" max="1809" width="9.85546875" style="2" bestFit="1" customWidth="1"/>
    <col min="1810" max="2048" width="9.140625" style="2"/>
    <col min="2049" max="2052" width="2.28515625" style="2" customWidth="1"/>
    <col min="2053" max="2053" width="14.28515625" style="2" customWidth="1"/>
    <col min="2054" max="2054" width="9.5703125" style="2" customWidth="1"/>
    <col min="2055" max="2065" width="9.85546875" style="2" bestFit="1" customWidth="1"/>
    <col min="2066" max="2304" width="9.140625" style="2"/>
    <col min="2305" max="2308" width="2.28515625" style="2" customWidth="1"/>
    <col min="2309" max="2309" width="14.28515625" style="2" customWidth="1"/>
    <col min="2310" max="2310" width="9.5703125" style="2" customWidth="1"/>
    <col min="2311" max="2321" width="9.85546875" style="2" bestFit="1" customWidth="1"/>
    <col min="2322" max="2560" width="9.140625" style="2"/>
    <col min="2561" max="2564" width="2.28515625" style="2" customWidth="1"/>
    <col min="2565" max="2565" width="14.28515625" style="2" customWidth="1"/>
    <col min="2566" max="2566" width="9.5703125" style="2" customWidth="1"/>
    <col min="2567" max="2577" width="9.85546875" style="2" bestFit="1" customWidth="1"/>
    <col min="2578" max="2816" width="9.140625" style="2"/>
    <col min="2817" max="2820" width="2.28515625" style="2" customWidth="1"/>
    <col min="2821" max="2821" width="14.28515625" style="2" customWidth="1"/>
    <col min="2822" max="2822" width="9.5703125" style="2" customWidth="1"/>
    <col min="2823" max="2833" width="9.85546875" style="2" bestFit="1" customWidth="1"/>
    <col min="2834" max="3072" width="9.140625" style="2"/>
    <col min="3073" max="3076" width="2.28515625" style="2" customWidth="1"/>
    <col min="3077" max="3077" width="14.28515625" style="2" customWidth="1"/>
    <col min="3078" max="3078" width="9.5703125" style="2" customWidth="1"/>
    <col min="3079" max="3089" width="9.85546875" style="2" bestFit="1" customWidth="1"/>
    <col min="3090" max="3328" width="9.140625" style="2"/>
    <col min="3329" max="3332" width="2.28515625" style="2" customWidth="1"/>
    <col min="3333" max="3333" width="14.28515625" style="2" customWidth="1"/>
    <col min="3334" max="3334" width="9.5703125" style="2" customWidth="1"/>
    <col min="3335" max="3345" width="9.85546875" style="2" bestFit="1" customWidth="1"/>
    <col min="3346" max="3584" width="9.140625" style="2"/>
    <col min="3585" max="3588" width="2.28515625" style="2" customWidth="1"/>
    <col min="3589" max="3589" width="14.28515625" style="2" customWidth="1"/>
    <col min="3590" max="3590" width="9.5703125" style="2" customWidth="1"/>
    <col min="3591" max="3601" width="9.85546875" style="2" bestFit="1" customWidth="1"/>
    <col min="3602" max="3840" width="9.140625" style="2"/>
    <col min="3841" max="3844" width="2.28515625" style="2" customWidth="1"/>
    <col min="3845" max="3845" width="14.28515625" style="2" customWidth="1"/>
    <col min="3846" max="3846" width="9.5703125" style="2" customWidth="1"/>
    <col min="3847" max="3857" width="9.85546875" style="2" bestFit="1" customWidth="1"/>
    <col min="3858" max="4096" width="9.140625" style="2"/>
    <col min="4097" max="4100" width="2.28515625" style="2" customWidth="1"/>
    <col min="4101" max="4101" width="14.28515625" style="2" customWidth="1"/>
    <col min="4102" max="4102" width="9.5703125" style="2" customWidth="1"/>
    <col min="4103" max="4113" width="9.85546875" style="2" bestFit="1" customWidth="1"/>
    <col min="4114" max="4352" width="9.140625" style="2"/>
    <col min="4353" max="4356" width="2.28515625" style="2" customWidth="1"/>
    <col min="4357" max="4357" width="14.28515625" style="2" customWidth="1"/>
    <col min="4358" max="4358" width="9.5703125" style="2" customWidth="1"/>
    <col min="4359" max="4369" width="9.85546875" style="2" bestFit="1" customWidth="1"/>
    <col min="4370" max="4608" width="9.140625" style="2"/>
    <col min="4609" max="4612" width="2.28515625" style="2" customWidth="1"/>
    <col min="4613" max="4613" width="14.28515625" style="2" customWidth="1"/>
    <col min="4614" max="4614" width="9.5703125" style="2" customWidth="1"/>
    <col min="4615" max="4625" width="9.85546875" style="2" bestFit="1" customWidth="1"/>
    <col min="4626" max="4864" width="9.140625" style="2"/>
    <col min="4865" max="4868" width="2.28515625" style="2" customWidth="1"/>
    <col min="4869" max="4869" width="14.28515625" style="2" customWidth="1"/>
    <col min="4870" max="4870" width="9.5703125" style="2" customWidth="1"/>
    <col min="4871" max="4881" width="9.85546875" style="2" bestFit="1" customWidth="1"/>
    <col min="4882" max="5120" width="9.140625" style="2"/>
    <col min="5121" max="5124" width="2.28515625" style="2" customWidth="1"/>
    <col min="5125" max="5125" width="14.28515625" style="2" customWidth="1"/>
    <col min="5126" max="5126" width="9.5703125" style="2" customWidth="1"/>
    <col min="5127" max="5137" width="9.85546875" style="2" bestFit="1" customWidth="1"/>
    <col min="5138" max="5376" width="9.140625" style="2"/>
    <col min="5377" max="5380" width="2.28515625" style="2" customWidth="1"/>
    <col min="5381" max="5381" width="14.28515625" style="2" customWidth="1"/>
    <col min="5382" max="5382" width="9.5703125" style="2" customWidth="1"/>
    <col min="5383" max="5393" width="9.85546875" style="2" bestFit="1" customWidth="1"/>
    <col min="5394" max="5632" width="9.140625" style="2"/>
    <col min="5633" max="5636" width="2.28515625" style="2" customWidth="1"/>
    <col min="5637" max="5637" width="14.28515625" style="2" customWidth="1"/>
    <col min="5638" max="5638" width="9.5703125" style="2" customWidth="1"/>
    <col min="5639" max="5649" width="9.85546875" style="2" bestFit="1" customWidth="1"/>
    <col min="5650" max="5888" width="9.140625" style="2"/>
    <col min="5889" max="5892" width="2.28515625" style="2" customWidth="1"/>
    <col min="5893" max="5893" width="14.28515625" style="2" customWidth="1"/>
    <col min="5894" max="5894" width="9.5703125" style="2" customWidth="1"/>
    <col min="5895" max="5905" width="9.85546875" style="2" bestFit="1" customWidth="1"/>
    <col min="5906" max="6144" width="9.140625" style="2"/>
    <col min="6145" max="6148" width="2.28515625" style="2" customWidth="1"/>
    <col min="6149" max="6149" width="14.28515625" style="2" customWidth="1"/>
    <col min="6150" max="6150" width="9.5703125" style="2" customWidth="1"/>
    <col min="6151" max="6161" width="9.85546875" style="2" bestFit="1" customWidth="1"/>
    <col min="6162" max="6400" width="9.140625" style="2"/>
    <col min="6401" max="6404" width="2.28515625" style="2" customWidth="1"/>
    <col min="6405" max="6405" width="14.28515625" style="2" customWidth="1"/>
    <col min="6406" max="6406" width="9.5703125" style="2" customWidth="1"/>
    <col min="6407" max="6417" width="9.85546875" style="2" bestFit="1" customWidth="1"/>
    <col min="6418" max="6656" width="9.140625" style="2"/>
    <col min="6657" max="6660" width="2.28515625" style="2" customWidth="1"/>
    <col min="6661" max="6661" width="14.28515625" style="2" customWidth="1"/>
    <col min="6662" max="6662" width="9.5703125" style="2" customWidth="1"/>
    <col min="6663" max="6673" width="9.85546875" style="2" bestFit="1" customWidth="1"/>
    <col min="6674" max="6912" width="9.140625" style="2"/>
    <col min="6913" max="6916" width="2.28515625" style="2" customWidth="1"/>
    <col min="6917" max="6917" width="14.28515625" style="2" customWidth="1"/>
    <col min="6918" max="6918" width="9.5703125" style="2" customWidth="1"/>
    <col min="6919" max="6929" width="9.85546875" style="2" bestFit="1" customWidth="1"/>
    <col min="6930" max="7168" width="9.140625" style="2"/>
    <col min="7169" max="7172" width="2.28515625" style="2" customWidth="1"/>
    <col min="7173" max="7173" width="14.28515625" style="2" customWidth="1"/>
    <col min="7174" max="7174" width="9.5703125" style="2" customWidth="1"/>
    <col min="7175" max="7185" width="9.85546875" style="2" bestFit="1" customWidth="1"/>
    <col min="7186" max="7424" width="9.140625" style="2"/>
    <col min="7425" max="7428" width="2.28515625" style="2" customWidth="1"/>
    <col min="7429" max="7429" width="14.28515625" style="2" customWidth="1"/>
    <col min="7430" max="7430" width="9.5703125" style="2" customWidth="1"/>
    <col min="7431" max="7441" width="9.85546875" style="2" bestFit="1" customWidth="1"/>
    <col min="7442" max="7680" width="9.140625" style="2"/>
    <col min="7681" max="7684" width="2.28515625" style="2" customWidth="1"/>
    <col min="7685" max="7685" width="14.28515625" style="2" customWidth="1"/>
    <col min="7686" max="7686" width="9.5703125" style="2" customWidth="1"/>
    <col min="7687" max="7697" width="9.85546875" style="2" bestFit="1" customWidth="1"/>
    <col min="7698" max="7936" width="9.140625" style="2"/>
    <col min="7937" max="7940" width="2.28515625" style="2" customWidth="1"/>
    <col min="7941" max="7941" width="14.28515625" style="2" customWidth="1"/>
    <col min="7942" max="7942" width="9.5703125" style="2" customWidth="1"/>
    <col min="7943" max="7953" width="9.85546875" style="2" bestFit="1" customWidth="1"/>
    <col min="7954" max="8192" width="9.140625" style="2"/>
    <col min="8193" max="8196" width="2.28515625" style="2" customWidth="1"/>
    <col min="8197" max="8197" width="14.28515625" style="2" customWidth="1"/>
    <col min="8198" max="8198" width="9.5703125" style="2" customWidth="1"/>
    <col min="8199" max="8209" width="9.85546875" style="2" bestFit="1" customWidth="1"/>
    <col min="8210" max="8448" width="9.140625" style="2"/>
    <col min="8449" max="8452" width="2.28515625" style="2" customWidth="1"/>
    <col min="8453" max="8453" width="14.28515625" style="2" customWidth="1"/>
    <col min="8454" max="8454" width="9.5703125" style="2" customWidth="1"/>
    <col min="8455" max="8465" width="9.85546875" style="2" bestFit="1" customWidth="1"/>
    <col min="8466" max="8704" width="9.140625" style="2"/>
    <col min="8705" max="8708" width="2.28515625" style="2" customWidth="1"/>
    <col min="8709" max="8709" width="14.28515625" style="2" customWidth="1"/>
    <col min="8710" max="8710" width="9.5703125" style="2" customWidth="1"/>
    <col min="8711" max="8721" width="9.85546875" style="2" bestFit="1" customWidth="1"/>
    <col min="8722" max="8960" width="9.140625" style="2"/>
    <col min="8961" max="8964" width="2.28515625" style="2" customWidth="1"/>
    <col min="8965" max="8965" width="14.28515625" style="2" customWidth="1"/>
    <col min="8966" max="8966" width="9.5703125" style="2" customWidth="1"/>
    <col min="8967" max="8977" width="9.85546875" style="2" bestFit="1" customWidth="1"/>
    <col min="8978" max="9216" width="9.140625" style="2"/>
    <col min="9217" max="9220" width="2.28515625" style="2" customWidth="1"/>
    <col min="9221" max="9221" width="14.28515625" style="2" customWidth="1"/>
    <col min="9222" max="9222" width="9.5703125" style="2" customWidth="1"/>
    <col min="9223" max="9233" width="9.85546875" style="2" bestFit="1" customWidth="1"/>
    <col min="9234" max="9472" width="9.140625" style="2"/>
    <col min="9473" max="9476" width="2.28515625" style="2" customWidth="1"/>
    <col min="9477" max="9477" width="14.28515625" style="2" customWidth="1"/>
    <col min="9478" max="9478" width="9.5703125" style="2" customWidth="1"/>
    <col min="9479" max="9489" width="9.85546875" style="2" bestFit="1" customWidth="1"/>
    <col min="9490" max="9728" width="9.140625" style="2"/>
    <col min="9729" max="9732" width="2.28515625" style="2" customWidth="1"/>
    <col min="9733" max="9733" width="14.28515625" style="2" customWidth="1"/>
    <col min="9734" max="9734" width="9.5703125" style="2" customWidth="1"/>
    <col min="9735" max="9745" width="9.85546875" style="2" bestFit="1" customWidth="1"/>
    <col min="9746" max="9984" width="9.140625" style="2"/>
    <col min="9985" max="9988" width="2.28515625" style="2" customWidth="1"/>
    <col min="9989" max="9989" width="14.28515625" style="2" customWidth="1"/>
    <col min="9990" max="9990" width="9.5703125" style="2" customWidth="1"/>
    <col min="9991" max="10001" width="9.85546875" style="2" bestFit="1" customWidth="1"/>
    <col min="10002" max="10240" width="9.140625" style="2"/>
    <col min="10241" max="10244" width="2.28515625" style="2" customWidth="1"/>
    <col min="10245" max="10245" width="14.28515625" style="2" customWidth="1"/>
    <col min="10246" max="10246" width="9.5703125" style="2" customWidth="1"/>
    <col min="10247" max="10257" width="9.85546875" style="2" bestFit="1" customWidth="1"/>
    <col min="10258" max="10496" width="9.140625" style="2"/>
    <col min="10497" max="10500" width="2.28515625" style="2" customWidth="1"/>
    <col min="10501" max="10501" width="14.28515625" style="2" customWidth="1"/>
    <col min="10502" max="10502" width="9.5703125" style="2" customWidth="1"/>
    <col min="10503" max="10513" width="9.85546875" style="2" bestFit="1" customWidth="1"/>
    <col min="10514" max="10752" width="9.140625" style="2"/>
    <col min="10753" max="10756" width="2.28515625" style="2" customWidth="1"/>
    <col min="10757" max="10757" width="14.28515625" style="2" customWidth="1"/>
    <col min="10758" max="10758" width="9.5703125" style="2" customWidth="1"/>
    <col min="10759" max="10769" width="9.85546875" style="2" bestFit="1" customWidth="1"/>
    <col min="10770" max="11008" width="9.140625" style="2"/>
    <col min="11009" max="11012" width="2.28515625" style="2" customWidth="1"/>
    <col min="11013" max="11013" width="14.28515625" style="2" customWidth="1"/>
    <col min="11014" max="11014" width="9.5703125" style="2" customWidth="1"/>
    <col min="11015" max="11025" width="9.85546875" style="2" bestFit="1" customWidth="1"/>
    <col min="11026" max="11264" width="9.140625" style="2"/>
    <col min="11265" max="11268" width="2.28515625" style="2" customWidth="1"/>
    <col min="11269" max="11269" width="14.28515625" style="2" customWidth="1"/>
    <col min="11270" max="11270" width="9.5703125" style="2" customWidth="1"/>
    <col min="11271" max="11281" width="9.85546875" style="2" bestFit="1" customWidth="1"/>
    <col min="11282" max="11520" width="9.140625" style="2"/>
    <col min="11521" max="11524" width="2.28515625" style="2" customWidth="1"/>
    <col min="11525" max="11525" width="14.28515625" style="2" customWidth="1"/>
    <col min="11526" max="11526" width="9.5703125" style="2" customWidth="1"/>
    <col min="11527" max="11537" width="9.85546875" style="2" bestFit="1" customWidth="1"/>
    <col min="11538" max="11776" width="9.140625" style="2"/>
    <col min="11777" max="11780" width="2.28515625" style="2" customWidth="1"/>
    <col min="11781" max="11781" width="14.28515625" style="2" customWidth="1"/>
    <col min="11782" max="11782" width="9.5703125" style="2" customWidth="1"/>
    <col min="11783" max="11793" width="9.85546875" style="2" bestFit="1" customWidth="1"/>
    <col min="11794" max="12032" width="9.140625" style="2"/>
    <col min="12033" max="12036" width="2.28515625" style="2" customWidth="1"/>
    <col min="12037" max="12037" width="14.28515625" style="2" customWidth="1"/>
    <col min="12038" max="12038" width="9.5703125" style="2" customWidth="1"/>
    <col min="12039" max="12049" width="9.85546875" style="2" bestFit="1" customWidth="1"/>
    <col min="12050" max="12288" width="9.140625" style="2"/>
    <col min="12289" max="12292" width="2.28515625" style="2" customWidth="1"/>
    <col min="12293" max="12293" width="14.28515625" style="2" customWidth="1"/>
    <col min="12294" max="12294" width="9.5703125" style="2" customWidth="1"/>
    <col min="12295" max="12305" width="9.85546875" style="2" bestFit="1" customWidth="1"/>
    <col min="12306" max="12544" width="9.140625" style="2"/>
    <col min="12545" max="12548" width="2.28515625" style="2" customWidth="1"/>
    <col min="12549" max="12549" width="14.28515625" style="2" customWidth="1"/>
    <col min="12550" max="12550" width="9.5703125" style="2" customWidth="1"/>
    <col min="12551" max="12561" width="9.85546875" style="2" bestFit="1" customWidth="1"/>
    <col min="12562" max="12800" width="9.140625" style="2"/>
    <col min="12801" max="12804" width="2.28515625" style="2" customWidth="1"/>
    <col min="12805" max="12805" width="14.28515625" style="2" customWidth="1"/>
    <col min="12806" max="12806" width="9.5703125" style="2" customWidth="1"/>
    <col min="12807" max="12817" width="9.85546875" style="2" bestFit="1" customWidth="1"/>
    <col min="12818" max="13056" width="9.140625" style="2"/>
    <col min="13057" max="13060" width="2.28515625" style="2" customWidth="1"/>
    <col min="13061" max="13061" width="14.28515625" style="2" customWidth="1"/>
    <col min="13062" max="13062" width="9.5703125" style="2" customWidth="1"/>
    <col min="13063" max="13073" width="9.85546875" style="2" bestFit="1" customWidth="1"/>
    <col min="13074" max="13312" width="9.140625" style="2"/>
    <col min="13313" max="13316" width="2.28515625" style="2" customWidth="1"/>
    <col min="13317" max="13317" width="14.28515625" style="2" customWidth="1"/>
    <col min="13318" max="13318" width="9.5703125" style="2" customWidth="1"/>
    <col min="13319" max="13329" width="9.85546875" style="2" bestFit="1" customWidth="1"/>
    <col min="13330" max="13568" width="9.140625" style="2"/>
    <col min="13569" max="13572" width="2.28515625" style="2" customWidth="1"/>
    <col min="13573" max="13573" width="14.28515625" style="2" customWidth="1"/>
    <col min="13574" max="13574" width="9.5703125" style="2" customWidth="1"/>
    <col min="13575" max="13585" width="9.85546875" style="2" bestFit="1" customWidth="1"/>
    <col min="13586" max="13824" width="9.140625" style="2"/>
    <col min="13825" max="13828" width="2.28515625" style="2" customWidth="1"/>
    <col min="13829" max="13829" width="14.28515625" style="2" customWidth="1"/>
    <col min="13830" max="13830" width="9.5703125" style="2" customWidth="1"/>
    <col min="13831" max="13841" width="9.85546875" style="2" bestFit="1" customWidth="1"/>
    <col min="13842" max="14080" width="9.140625" style="2"/>
    <col min="14081" max="14084" width="2.28515625" style="2" customWidth="1"/>
    <col min="14085" max="14085" width="14.28515625" style="2" customWidth="1"/>
    <col min="14086" max="14086" width="9.5703125" style="2" customWidth="1"/>
    <col min="14087" max="14097" width="9.85546875" style="2" bestFit="1" customWidth="1"/>
    <col min="14098" max="14336" width="9.140625" style="2"/>
    <col min="14337" max="14340" width="2.28515625" style="2" customWidth="1"/>
    <col min="14341" max="14341" width="14.28515625" style="2" customWidth="1"/>
    <col min="14342" max="14342" width="9.5703125" style="2" customWidth="1"/>
    <col min="14343" max="14353" width="9.85546875" style="2" bestFit="1" customWidth="1"/>
    <col min="14354" max="14592" width="9.140625" style="2"/>
    <col min="14593" max="14596" width="2.28515625" style="2" customWidth="1"/>
    <col min="14597" max="14597" width="14.28515625" style="2" customWidth="1"/>
    <col min="14598" max="14598" width="9.5703125" style="2" customWidth="1"/>
    <col min="14599" max="14609" width="9.85546875" style="2" bestFit="1" customWidth="1"/>
    <col min="14610" max="14848" width="9.140625" style="2"/>
    <col min="14849" max="14852" width="2.28515625" style="2" customWidth="1"/>
    <col min="14853" max="14853" width="14.28515625" style="2" customWidth="1"/>
    <col min="14854" max="14854" width="9.5703125" style="2" customWidth="1"/>
    <col min="14855" max="14865" width="9.85546875" style="2" bestFit="1" customWidth="1"/>
    <col min="14866" max="15104" width="9.140625" style="2"/>
    <col min="15105" max="15108" width="2.28515625" style="2" customWidth="1"/>
    <col min="15109" max="15109" width="14.28515625" style="2" customWidth="1"/>
    <col min="15110" max="15110" width="9.5703125" style="2" customWidth="1"/>
    <col min="15111" max="15121" width="9.85546875" style="2" bestFit="1" customWidth="1"/>
    <col min="15122" max="15360" width="9.140625" style="2"/>
    <col min="15361" max="15364" width="2.28515625" style="2" customWidth="1"/>
    <col min="15365" max="15365" width="14.28515625" style="2" customWidth="1"/>
    <col min="15366" max="15366" width="9.5703125" style="2" customWidth="1"/>
    <col min="15367" max="15377" width="9.85546875" style="2" bestFit="1" customWidth="1"/>
    <col min="15378" max="15616" width="9.140625" style="2"/>
    <col min="15617" max="15620" width="2.28515625" style="2" customWidth="1"/>
    <col min="15621" max="15621" width="14.28515625" style="2" customWidth="1"/>
    <col min="15622" max="15622" width="9.5703125" style="2" customWidth="1"/>
    <col min="15623" max="15633" width="9.85546875" style="2" bestFit="1" customWidth="1"/>
    <col min="15634" max="15872" width="9.140625" style="2"/>
    <col min="15873" max="15876" width="2.28515625" style="2" customWidth="1"/>
    <col min="15877" max="15877" width="14.28515625" style="2" customWidth="1"/>
    <col min="15878" max="15878" width="9.5703125" style="2" customWidth="1"/>
    <col min="15879" max="15889" width="9.85546875" style="2" bestFit="1" customWidth="1"/>
    <col min="15890" max="16128" width="9.140625" style="2"/>
    <col min="16129" max="16132" width="2.28515625" style="2" customWidth="1"/>
    <col min="16133" max="16133" width="14.28515625" style="2" customWidth="1"/>
    <col min="16134" max="16134" width="9.5703125" style="2" customWidth="1"/>
    <col min="16135" max="16145" width="9.85546875" style="2" bestFit="1" customWidth="1"/>
    <col min="16146" max="16384" width="9.140625" style="2"/>
  </cols>
  <sheetData>
    <row r="1" spans="1:17">
      <c r="A1" s="1" t="s">
        <v>25</v>
      </c>
      <c r="B1" s="1"/>
    </row>
    <row r="2" spans="1:17">
      <c r="A2" s="1" t="s">
        <v>107</v>
      </c>
      <c r="B2" s="1"/>
    </row>
    <row r="3" spans="1:17">
      <c r="A3" s="2" t="s">
        <v>0</v>
      </c>
    </row>
    <row r="4" spans="1:17" ht="12" customHeight="1"/>
    <row r="5" spans="1:17" ht="18" customHeight="1">
      <c r="A5" s="177" t="s">
        <v>1</v>
      </c>
      <c r="B5" s="178"/>
      <c r="C5" s="178"/>
      <c r="D5" s="178"/>
      <c r="E5" s="178"/>
      <c r="F5" s="18" t="s">
        <v>5</v>
      </c>
      <c r="G5" s="18" t="s">
        <v>23</v>
      </c>
      <c r="H5" s="18" t="s">
        <v>24</v>
      </c>
      <c r="I5" s="18" t="s">
        <v>26</v>
      </c>
      <c r="J5" s="18" t="s">
        <v>27</v>
      </c>
      <c r="K5" s="18" t="s">
        <v>36</v>
      </c>
      <c r="L5" s="18" t="s">
        <v>28</v>
      </c>
      <c r="M5" s="18" t="s">
        <v>29</v>
      </c>
      <c r="N5" s="18" t="s">
        <v>39</v>
      </c>
      <c r="O5" s="18" t="s">
        <v>31</v>
      </c>
      <c r="P5" s="18" t="s">
        <v>32</v>
      </c>
      <c r="Q5" s="39" t="s">
        <v>33</v>
      </c>
    </row>
    <row r="6" spans="1:17" ht="9" customHeight="1">
      <c r="A6" s="1"/>
      <c r="B6" s="1"/>
      <c r="C6" s="1"/>
      <c r="D6" s="1"/>
      <c r="E6" s="1"/>
    </row>
    <row r="7" spans="1:17">
      <c r="A7" s="1" t="s">
        <v>17</v>
      </c>
      <c r="E7" s="1"/>
      <c r="F7" s="13">
        <v>1071348.9819100001</v>
      </c>
      <c r="G7" s="13">
        <v>1090777.3789599999</v>
      </c>
      <c r="H7" s="13">
        <v>1132333.1986199999</v>
      </c>
      <c r="I7" s="13">
        <v>1131689.06797</v>
      </c>
      <c r="J7" s="13">
        <v>1135431.2674199999</v>
      </c>
      <c r="K7" s="13">
        <v>1140018.5662499999</v>
      </c>
      <c r="L7" s="13">
        <v>1152664.0441950001</v>
      </c>
      <c r="M7" s="13">
        <v>1144573.7307199999</v>
      </c>
      <c r="N7" s="13">
        <v>1142797.6317</v>
      </c>
      <c r="O7" s="13">
        <v>1140046.9477599999</v>
      </c>
      <c r="P7" s="13">
        <v>1164635.1388300001</v>
      </c>
      <c r="Q7" s="13">
        <v>1158621.6425000001</v>
      </c>
    </row>
    <row r="8" spans="1:17" ht="6.75" customHeight="1">
      <c r="A8" s="1"/>
      <c r="B8" s="1"/>
      <c r="C8" s="1"/>
      <c r="D8" s="1"/>
      <c r="E8" s="1"/>
    </row>
    <row r="9" spans="1:17">
      <c r="A9" s="1"/>
      <c r="B9" s="1" t="s">
        <v>59</v>
      </c>
      <c r="F9" s="82">
        <v>648291</v>
      </c>
      <c r="G9" s="82">
        <v>645891</v>
      </c>
      <c r="H9" s="82">
        <v>663695</v>
      </c>
      <c r="I9" s="82">
        <v>649797</v>
      </c>
      <c r="J9" s="82">
        <v>656050</v>
      </c>
      <c r="K9" s="82">
        <v>668089</v>
      </c>
      <c r="L9" s="82">
        <v>688873</v>
      </c>
      <c r="M9" s="82">
        <v>699748</v>
      </c>
      <c r="N9" s="82">
        <v>695522</v>
      </c>
      <c r="O9" s="82">
        <v>699095</v>
      </c>
      <c r="P9" s="82">
        <v>721309</v>
      </c>
      <c r="Q9" s="82">
        <v>718395</v>
      </c>
    </row>
    <row r="10" spans="1:17">
      <c r="C10" s="2" t="s">
        <v>87</v>
      </c>
      <c r="F10" s="14">
        <v>605028</v>
      </c>
      <c r="G10" s="14">
        <v>601292</v>
      </c>
      <c r="H10" s="14">
        <v>618810</v>
      </c>
      <c r="I10" s="14">
        <v>604943</v>
      </c>
      <c r="J10" s="14">
        <v>611447</v>
      </c>
      <c r="K10" s="14">
        <v>623821</v>
      </c>
      <c r="L10" s="14">
        <v>644558</v>
      </c>
      <c r="M10" s="14">
        <v>655073</v>
      </c>
      <c r="N10" s="14">
        <v>650737</v>
      </c>
      <c r="O10" s="14">
        <v>654447</v>
      </c>
      <c r="P10" s="14">
        <v>676447</v>
      </c>
      <c r="Q10" s="14">
        <v>678007</v>
      </c>
    </row>
    <row r="11" spans="1:17">
      <c r="D11" s="2" t="s">
        <v>88</v>
      </c>
      <c r="F11" s="15">
        <v>588951</v>
      </c>
      <c r="G11" s="15">
        <v>585215</v>
      </c>
      <c r="H11" s="15">
        <v>602734</v>
      </c>
      <c r="I11" s="15">
        <v>588869</v>
      </c>
      <c r="J11" s="15">
        <v>595373</v>
      </c>
      <c r="K11" s="15">
        <v>607747</v>
      </c>
      <c r="L11" s="15">
        <v>628484</v>
      </c>
      <c r="M11" s="15">
        <v>638999</v>
      </c>
      <c r="N11" s="15">
        <v>634669</v>
      </c>
      <c r="O11" s="15">
        <v>638379</v>
      </c>
      <c r="P11" s="15">
        <v>660379</v>
      </c>
      <c r="Q11" s="15">
        <v>661947</v>
      </c>
    </row>
    <row r="12" spans="1:17">
      <c r="D12" s="2" t="s">
        <v>2</v>
      </c>
      <c r="F12" s="15">
        <v>16064</v>
      </c>
      <c r="G12" s="15">
        <v>16062</v>
      </c>
      <c r="H12" s="15">
        <v>16061</v>
      </c>
      <c r="I12" s="15">
        <v>16059</v>
      </c>
      <c r="J12" s="15">
        <v>16059</v>
      </c>
      <c r="K12" s="15">
        <v>16059</v>
      </c>
      <c r="L12" s="15">
        <v>16059</v>
      </c>
      <c r="M12" s="15">
        <v>16059</v>
      </c>
      <c r="N12" s="15">
        <v>16053</v>
      </c>
      <c r="O12" s="15">
        <v>16053</v>
      </c>
      <c r="P12" s="15">
        <v>16053</v>
      </c>
      <c r="Q12" s="15">
        <v>16045</v>
      </c>
    </row>
    <row r="13" spans="1:17">
      <c r="D13" s="2" t="s">
        <v>3</v>
      </c>
      <c r="F13" s="15">
        <v>13</v>
      </c>
      <c r="G13" s="15">
        <v>15</v>
      </c>
      <c r="H13" s="15">
        <v>15</v>
      </c>
      <c r="I13" s="15">
        <v>15</v>
      </c>
      <c r="J13" s="15">
        <v>15</v>
      </c>
      <c r="K13" s="15">
        <v>15</v>
      </c>
      <c r="L13" s="15">
        <v>15</v>
      </c>
      <c r="M13" s="15">
        <v>15</v>
      </c>
      <c r="N13" s="15">
        <v>15</v>
      </c>
      <c r="O13" s="15">
        <v>15</v>
      </c>
      <c r="P13" s="15">
        <v>15</v>
      </c>
      <c r="Q13" s="15">
        <v>15</v>
      </c>
    </row>
    <row r="14" spans="1:17" ht="8.25" customHeight="1"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C15" s="2" t="s">
        <v>4</v>
      </c>
      <c r="F15" s="14">
        <v>43263</v>
      </c>
      <c r="G15" s="14">
        <v>44599</v>
      </c>
      <c r="H15" s="14">
        <v>44885</v>
      </c>
      <c r="I15" s="14">
        <v>44854</v>
      </c>
      <c r="J15" s="14">
        <v>44603</v>
      </c>
      <c r="K15" s="14">
        <v>44268</v>
      </c>
      <c r="L15" s="14">
        <v>44315</v>
      </c>
      <c r="M15" s="14">
        <v>44675</v>
      </c>
      <c r="N15" s="14">
        <v>44785</v>
      </c>
      <c r="O15" s="14">
        <v>44648</v>
      </c>
      <c r="P15" s="14">
        <v>44862</v>
      </c>
      <c r="Q15" s="14">
        <v>40388</v>
      </c>
    </row>
    <row r="16" spans="1:17">
      <c r="D16" s="2" t="s">
        <v>12</v>
      </c>
      <c r="F16" s="15">
        <v>21927</v>
      </c>
      <c r="G16" s="15">
        <v>22360</v>
      </c>
      <c r="H16" s="15">
        <v>22455</v>
      </c>
      <c r="I16" s="15">
        <v>22467</v>
      </c>
      <c r="J16" s="15">
        <v>22384</v>
      </c>
      <c r="K16" s="15">
        <v>22283</v>
      </c>
      <c r="L16" s="15">
        <v>22286</v>
      </c>
      <c r="M16" s="15">
        <v>22406</v>
      </c>
      <c r="N16" s="15">
        <v>22465</v>
      </c>
      <c r="O16" s="15">
        <v>22419</v>
      </c>
      <c r="P16" s="15">
        <v>22491</v>
      </c>
      <c r="Q16" s="15">
        <v>21091</v>
      </c>
    </row>
    <row r="17" spans="1:17">
      <c r="D17" s="2" t="s">
        <v>13</v>
      </c>
      <c r="F17" s="15">
        <v>20765</v>
      </c>
      <c r="G17" s="15">
        <v>21641</v>
      </c>
      <c r="H17" s="15">
        <v>21826</v>
      </c>
      <c r="I17" s="15">
        <v>21782</v>
      </c>
      <c r="J17" s="15">
        <v>21619</v>
      </c>
      <c r="K17" s="15">
        <v>21422</v>
      </c>
      <c r="L17" s="15">
        <v>21466</v>
      </c>
      <c r="M17" s="15">
        <v>21699</v>
      </c>
      <c r="N17" s="15">
        <v>21778</v>
      </c>
      <c r="O17" s="15">
        <v>21689</v>
      </c>
      <c r="P17" s="15">
        <v>21827</v>
      </c>
      <c r="Q17" s="15">
        <v>18752</v>
      </c>
    </row>
    <row r="18" spans="1:17">
      <c r="D18" s="2" t="s">
        <v>14</v>
      </c>
      <c r="F18" s="15">
        <v>564</v>
      </c>
      <c r="G18" s="15">
        <v>591</v>
      </c>
      <c r="H18" s="15">
        <v>597</v>
      </c>
      <c r="I18" s="15">
        <v>598</v>
      </c>
      <c r="J18" s="15">
        <v>593</v>
      </c>
      <c r="K18" s="15">
        <v>557</v>
      </c>
      <c r="L18" s="15">
        <v>557</v>
      </c>
      <c r="M18" s="15">
        <v>564</v>
      </c>
      <c r="N18" s="15">
        <v>536</v>
      </c>
      <c r="O18" s="15">
        <v>534</v>
      </c>
      <c r="P18" s="15">
        <v>538</v>
      </c>
      <c r="Q18" s="15">
        <v>539</v>
      </c>
    </row>
    <row r="19" spans="1:17">
      <c r="D19" s="2" t="s">
        <v>21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</row>
    <row r="20" spans="1:17">
      <c r="D20" s="2" t="s">
        <v>15</v>
      </c>
      <c r="F20" s="15">
        <v>7</v>
      </c>
      <c r="G20" s="15">
        <v>7</v>
      </c>
      <c r="H20" s="15">
        <v>7</v>
      </c>
      <c r="I20" s="15">
        <v>7</v>
      </c>
      <c r="J20" s="15">
        <v>7</v>
      </c>
      <c r="K20" s="15">
        <v>6</v>
      </c>
      <c r="L20" s="15">
        <v>6</v>
      </c>
      <c r="M20" s="15">
        <v>6</v>
      </c>
      <c r="N20" s="15">
        <v>6</v>
      </c>
      <c r="O20" s="15">
        <v>6</v>
      </c>
      <c r="P20" s="15">
        <v>6</v>
      </c>
      <c r="Q20" s="15">
        <v>6</v>
      </c>
    </row>
    <row r="21" spans="1:17">
      <c r="D21" s="2" t="s">
        <v>16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</row>
    <row r="22" spans="1:17" ht="6" customHeight="1"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>
      <c r="A23" s="1"/>
      <c r="B23" s="1" t="s">
        <v>125</v>
      </c>
      <c r="C23" s="1"/>
      <c r="D23" s="1"/>
      <c r="E23" s="1"/>
      <c r="F23" s="13">
        <v>423057.98190999997</v>
      </c>
      <c r="G23" s="13">
        <v>444886.37896</v>
      </c>
      <c r="H23" s="13">
        <v>468638.19861999998</v>
      </c>
      <c r="I23" s="13">
        <v>481892.06796999997</v>
      </c>
      <c r="J23" s="13">
        <v>479381.26741999999</v>
      </c>
      <c r="K23" s="13">
        <v>471929.56624999997</v>
      </c>
      <c r="L23" s="13">
        <v>463791.04419500002</v>
      </c>
      <c r="M23" s="13">
        <v>444825.73071999999</v>
      </c>
      <c r="N23" s="13">
        <v>447275.63170000003</v>
      </c>
      <c r="O23" s="13">
        <v>440951.94776000001</v>
      </c>
      <c r="P23" s="13">
        <v>443326.13883000001</v>
      </c>
      <c r="Q23" s="13">
        <v>440226.64250000002</v>
      </c>
    </row>
    <row r="24" spans="1:17">
      <c r="C24" s="2" t="s">
        <v>87</v>
      </c>
      <c r="E24" s="1"/>
      <c r="F24" s="14">
        <v>324732</v>
      </c>
      <c r="G24" s="14">
        <v>341843</v>
      </c>
      <c r="H24" s="14">
        <v>364665</v>
      </c>
      <c r="I24" s="14">
        <v>382459</v>
      </c>
      <c r="J24" s="14">
        <v>381054</v>
      </c>
      <c r="K24" s="14">
        <v>374610</v>
      </c>
      <c r="L24" s="14">
        <v>366497</v>
      </c>
      <c r="M24" s="14">
        <v>346595</v>
      </c>
      <c r="N24" s="14">
        <v>348727</v>
      </c>
      <c r="O24" s="14">
        <v>343255</v>
      </c>
      <c r="P24" s="14">
        <v>345828</v>
      </c>
      <c r="Q24" s="14">
        <v>342751</v>
      </c>
    </row>
    <row r="25" spans="1:17">
      <c r="D25" s="2" t="s">
        <v>2</v>
      </c>
      <c r="F25" s="15">
        <v>271524</v>
      </c>
      <c r="G25" s="15">
        <v>284322</v>
      </c>
      <c r="H25" s="15">
        <v>302365</v>
      </c>
      <c r="I25" s="15">
        <v>316358</v>
      </c>
      <c r="J25" s="15">
        <v>314906</v>
      </c>
      <c r="K25" s="15">
        <v>309802</v>
      </c>
      <c r="L25" s="15">
        <v>303910</v>
      </c>
      <c r="M25" s="15">
        <v>289070</v>
      </c>
      <c r="N25" s="15">
        <v>292583</v>
      </c>
      <c r="O25" s="15">
        <v>288048</v>
      </c>
      <c r="P25" s="15">
        <v>289829</v>
      </c>
      <c r="Q25" s="15">
        <v>287241</v>
      </c>
    </row>
    <row r="26" spans="1:17">
      <c r="D26" s="2" t="s">
        <v>89</v>
      </c>
      <c r="F26" s="15">
        <v>53208</v>
      </c>
      <c r="G26" s="15">
        <v>57521</v>
      </c>
      <c r="H26" s="15">
        <v>62300</v>
      </c>
      <c r="I26" s="15">
        <v>66101</v>
      </c>
      <c r="J26" s="15">
        <v>66148</v>
      </c>
      <c r="K26" s="15">
        <v>64808</v>
      </c>
      <c r="L26" s="15">
        <v>62587</v>
      </c>
      <c r="M26" s="15">
        <v>57525</v>
      </c>
      <c r="N26" s="15">
        <v>56144</v>
      </c>
      <c r="O26" s="15">
        <v>55207</v>
      </c>
      <c r="P26" s="15">
        <v>55999</v>
      </c>
      <c r="Q26" s="15">
        <v>55510</v>
      </c>
    </row>
    <row r="27" spans="1:17"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>
      <c r="C28" s="2" t="s">
        <v>4</v>
      </c>
      <c r="F28" s="14">
        <v>23753.981909999999</v>
      </c>
      <c r="G28" s="14">
        <v>24954.378959999995</v>
      </c>
      <c r="H28" s="14">
        <v>25110.198619999999</v>
      </c>
      <c r="I28" s="14">
        <v>23850.06797</v>
      </c>
      <c r="J28" s="14">
        <v>23394.26742</v>
      </c>
      <c r="K28" s="14">
        <v>23031.56625</v>
      </c>
      <c r="L28" s="14">
        <v>22977.044195000006</v>
      </c>
      <c r="M28" s="14">
        <v>22981.73072</v>
      </c>
      <c r="N28" s="14">
        <v>22837.631699999998</v>
      </c>
      <c r="O28" s="14">
        <v>22197.947759999999</v>
      </c>
      <c r="P28" s="14">
        <v>21444.13883</v>
      </c>
      <c r="Q28" s="14">
        <v>21331.642499999998</v>
      </c>
    </row>
    <row r="29" spans="1:17">
      <c r="D29" s="2" t="s">
        <v>12</v>
      </c>
      <c r="F29" s="15">
        <v>3892.6089299999999</v>
      </c>
      <c r="G29" s="15">
        <v>4089.0721199999998</v>
      </c>
      <c r="H29" s="15">
        <v>4141.5481899999995</v>
      </c>
      <c r="I29" s="15">
        <v>4133.6960600000002</v>
      </c>
      <c r="J29" s="15">
        <v>4089.0824699999998</v>
      </c>
      <c r="K29" s="15">
        <v>4018.8554999999997</v>
      </c>
      <c r="L29" s="15">
        <v>4019.1476500000003</v>
      </c>
      <c r="M29" s="15">
        <v>4034.6004400000002</v>
      </c>
      <c r="N29" s="15">
        <v>4066.9219500000004</v>
      </c>
      <c r="O29" s="15">
        <v>4025.6409600000002</v>
      </c>
      <c r="P29" s="15">
        <v>3408.7647699999998</v>
      </c>
      <c r="Q29" s="15">
        <v>3392.0916000000002</v>
      </c>
    </row>
    <row r="30" spans="1:17">
      <c r="D30" s="2" t="s">
        <v>13</v>
      </c>
      <c r="F30" s="15">
        <v>4894.2044099999994</v>
      </c>
      <c r="G30" s="15">
        <v>5155.9208399999998</v>
      </c>
      <c r="H30" s="15">
        <v>5260.5484099999994</v>
      </c>
      <c r="I30" s="15">
        <v>4353.8337199999996</v>
      </c>
      <c r="J30" s="15">
        <v>4288.23531</v>
      </c>
      <c r="K30" s="15">
        <v>4126.2704999999996</v>
      </c>
      <c r="L30" s="15">
        <v>4082.5216950000004</v>
      </c>
      <c r="M30" s="15">
        <v>4004.80854</v>
      </c>
      <c r="N30" s="15">
        <v>3925.3890000000001</v>
      </c>
      <c r="O30" s="15">
        <v>3776.6376000000005</v>
      </c>
      <c r="P30" s="15">
        <v>3770.3519999999999</v>
      </c>
      <c r="Q30" s="15">
        <v>3667.6007399999999</v>
      </c>
    </row>
    <row r="31" spans="1:17">
      <c r="D31" s="2" t="s">
        <v>14</v>
      </c>
      <c r="F31" s="15">
        <v>11883.748530000001</v>
      </c>
      <c r="G31" s="15">
        <v>12449.913559999999</v>
      </c>
      <c r="H31" s="15">
        <v>12538.207759999999</v>
      </c>
      <c r="I31" s="15">
        <v>12305.07069</v>
      </c>
      <c r="J31" s="15">
        <v>12087.184350000001</v>
      </c>
      <c r="K31" s="15">
        <v>11973.95925</v>
      </c>
      <c r="L31" s="15">
        <v>11960.731650000002</v>
      </c>
      <c r="M31" s="15">
        <v>12064.424199999999</v>
      </c>
      <c r="N31" s="15">
        <v>12068.6163</v>
      </c>
      <c r="O31" s="15">
        <v>11747.604240000001</v>
      </c>
      <c r="P31" s="15">
        <v>11718.72531</v>
      </c>
      <c r="Q31" s="15">
        <v>11727.881459999999</v>
      </c>
    </row>
    <row r="32" spans="1:17">
      <c r="D32" s="2" t="s">
        <v>21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</row>
    <row r="33" spans="1:17">
      <c r="D33" s="2" t="s">
        <v>15</v>
      </c>
      <c r="F33" s="15">
        <v>480.40215000000001</v>
      </c>
      <c r="G33" s="15">
        <v>504.08987999999999</v>
      </c>
      <c r="H33" s="15">
        <v>498.69053000000002</v>
      </c>
      <c r="I33" s="15">
        <v>488.15396000000004</v>
      </c>
      <c r="J33" s="15">
        <v>482.91983999999997</v>
      </c>
      <c r="K33" s="15">
        <v>479.01974999999999</v>
      </c>
      <c r="L33" s="15">
        <v>479.20705000000004</v>
      </c>
      <c r="M33" s="15">
        <v>482.36972000000003</v>
      </c>
      <c r="N33" s="15">
        <v>486.89420000000001</v>
      </c>
      <c r="O33" s="15">
        <v>485.53056000000004</v>
      </c>
      <c r="P33" s="15">
        <v>475.48327999999998</v>
      </c>
      <c r="Q33" s="15">
        <v>473.94911999999994</v>
      </c>
    </row>
    <row r="34" spans="1:17">
      <c r="D34" s="2" t="s">
        <v>16</v>
      </c>
      <c r="F34" s="15">
        <v>2603.0178900000001</v>
      </c>
      <c r="G34" s="15">
        <v>2755.38256</v>
      </c>
      <c r="H34" s="15">
        <v>2671.2037300000002</v>
      </c>
      <c r="I34" s="15">
        <v>2569.3135400000001</v>
      </c>
      <c r="J34" s="15">
        <v>2446.8454499999998</v>
      </c>
      <c r="K34" s="15">
        <v>2433.4612500000003</v>
      </c>
      <c r="L34" s="15">
        <v>2435.43615</v>
      </c>
      <c r="M34" s="15">
        <v>2395.5278199999998</v>
      </c>
      <c r="N34" s="15">
        <v>2289.81025</v>
      </c>
      <c r="O34" s="15">
        <v>2162.5344</v>
      </c>
      <c r="P34" s="15">
        <v>2070.8134700000001</v>
      </c>
      <c r="Q34" s="15">
        <v>2070.11958</v>
      </c>
    </row>
    <row r="35" spans="1:17"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>
      <c r="C36" s="2" t="s">
        <v>84</v>
      </c>
      <c r="F36" s="15">
        <v>74572</v>
      </c>
      <c r="G36" s="15">
        <v>78089</v>
      </c>
      <c r="H36" s="15">
        <v>78863</v>
      </c>
      <c r="I36" s="15">
        <v>75583</v>
      </c>
      <c r="J36" s="15">
        <v>74933</v>
      </c>
      <c r="K36" s="15">
        <v>74288</v>
      </c>
      <c r="L36" s="15">
        <v>74317</v>
      </c>
      <c r="M36" s="15">
        <v>75249</v>
      </c>
      <c r="N36" s="15">
        <v>75711</v>
      </c>
      <c r="O36" s="15">
        <v>75499</v>
      </c>
      <c r="P36" s="15">
        <v>76054</v>
      </c>
      <c r="Q36" s="15">
        <v>76144</v>
      </c>
    </row>
    <row r="37" spans="1:17" ht="8.25" customHeight="1">
      <c r="A37" s="9"/>
      <c r="B37" s="9"/>
      <c r="C37" s="9"/>
      <c r="D37" s="9"/>
      <c r="E37" s="8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>
      <c r="A38" s="2" t="s">
        <v>90</v>
      </c>
    </row>
    <row r="39" spans="1:17" ht="6.75" customHeight="1"/>
    <row r="40" spans="1:17">
      <c r="A40" s="2" t="s">
        <v>8</v>
      </c>
      <c r="F40" s="2">
        <v>24.573</v>
      </c>
      <c r="G40" s="2">
        <v>25.731999999999999</v>
      </c>
      <c r="H40" s="2">
        <v>25.986999999999998</v>
      </c>
      <c r="I40" s="2">
        <v>26.021000000000001</v>
      </c>
      <c r="J40" s="2">
        <v>25.797000000000001</v>
      </c>
      <c r="K40" s="2">
        <v>25.574999999999999</v>
      </c>
      <c r="L40" s="2">
        <v>25.585000000000001</v>
      </c>
      <c r="M40" s="2">
        <v>25.905999999999999</v>
      </c>
      <c r="N40" s="2">
        <v>26.065000000000001</v>
      </c>
      <c r="O40" s="2">
        <v>25.992000000000001</v>
      </c>
      <c r="P40" s="2">
        <v>26.183</v>
      </c>
      <c r="Q40" s="2">
        <v>26.213999999999999</v>
      </c>
    </row>
    <row r="41" spans="1:17" ht="6" customHeight="1"/>
    <row r="42" spans="1:17" ht="8.25" customHeight="1"/>
    <row r="43" spans="1:17">
      <c r="A43" s="11" t="s">
        <v>91</v>
      </c>
      <c r="B43" s="11"/>
      <c r="C43" s="11"/>
      <c r="D43" s="11"/>
      <c r="F43" s="11"/>
    </row>
    <row r="44" spans="1:17">
      <c r="A44" s="11" t="s">
        <v>108</v>
      </c>
      <c r="B44" s="11"/>
      <c r="C44" s="11"/>
      <c r="D44" s="11"/>
      <c r="E44" s="11"/>
      <c r="F44" s="11"/>
    </row>
    <row r="45" spans="1:17">
      <c r="A45" s="11"/>
      <c r="B45" s="11"/>
      <c r="C45" s="11"/>
      <c r="D45" s="11"/>
      <c r="E45" s="11"/>
      <c r="F45" s="11"/>
    </row>
    <row r="46" spans="1:17">
      <c r="E46" s="11"/>
    </row>
  </sheetData>
  <mergeCells count="1">
    <mergeCell ref="A5:E5"/>
  </mergeCells>
  <pageMargins left="0.55118110236220474" right="0" top="0.78740157480314965" bottom="0" header="0" footer="0"/>
  <pageSetup paperSize="9" scale="67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3312-BB85-4BEC-A68D-8E7BD0525791}">
  <sheetPr>
    <pageSetUpPr fitToPage="1"/>
  </sheetPr>
  <dimension ref="A1:R50"/>
  <sheetViews>
    <sheetView workbookViewId="0">
      <selection activeCell="K29" sqref="K29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>
      <c r="A1" s="1" t="s">
        <v>133</v>
      </c>
    </row>
    <row r="2" spans="1:18">
      <c r="A2" s="1" t="s">
        <v>107</v>
      </c>
      <c r="F2" s="1" t="s">
        <v>35</v>
      </c>
    </row>
    <row r="3" spans="1:18">
      <c r="A3" s="2" t="s">
        <v>0</v>
      </c>
    </row>
    <row r="5" spans="1:18" s="128" customFormat="1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6" t="s">
        <v>28</v>
      </c>
      <c r="N5" s="76" t="s">
        <v>29</v>
      </c>
      <c r="O5" s="76" t="s">
        <v>39</v>
      </c>
      <c r="P5" s="76" t="s">
        <v>31</v>
      </c>
      <c r="Q5" s="76" t="s">
        <v>32</v>
      </c>
      <c r="R5" s="78" t="s">
        <v>33</v>
      </c>
    </row>
    <row r="6" spans="1:18" ht="9" customHeight="1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+G9+G17</f>
        <v>147628.826</v>
      </c>
      <c r="H7" s="126">
        <f t="shared" si="0"/>
        <v>155919.826</v>
      </c>
      <c r="I7" s="126">
        <f t="shared" si="0"/>
        <v>162020.826</v>
      </c>
      <c r="J7" s="126">
        <f t="shared" si="0"/>
        <v>168102.826</v>
      </c>
      <c r="K7" s="126">
        <f t="shared" si="0"/>
        <v>167193.826</v>
      </c>
      <c r="L7" s="126">
        <f t="shared" si="0"/>
        <v>163971.826</v>
      </c>
      <c r="M7" s="126">
        <f t="shared" si="0"/>
        <v>160701.826</v>
      </c>
      <c r="N7" s="126">
        <f t="shared" si="0"/>
        <v>153302.826</v>
      </c>
      <c r="O7" s="126">
        <f t="shared" si="0"/>
        <v>153977.826</v>
      </c>
      <c r="P7" s="126">
        <f t="shared" si="0"/>
        <v>150577.826</v>
      </c>
      <c r="Q7" s="126">
        <f t="shared" si="0"/>
        <v>149868.826</v>
      </c>
      <c r="R7" s="126">
        <f t="shared" si="0"/>
        <v>166917.427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 t="shared" ref="G9:R9" si="1">+G11+G12</f>
        <v>5585.826</v>
      </c>
      <c r="H9" s="13">
        <f t="shared" si="1"/>
        <v>5585.826</v>
      </c>
      <c r="I9" s="13">
        <f t="shared" si="1"/>
        <v>5560.826</v>
      </c>
      <c r="J9" s="13">
        <f t="shared" si="1"/>
        <v>5549.826</v>
      </c>
      <c r="K9" s="13">
        <f t="shared" si="1"/>
        <v>5549.826</v>
      </c>
      <c r="L9" s="13">
        <f t="shared" si="1"/>
        <v>5835.826</v>
      </c>
      <c r="M9" s="13">
        <f t="shared" si="1"/>
        <v>5817.826</v>
      </c>
      <c r="N9" s="13">
        <f t="shared" si="1"/>
        <v>5818.826</v>
      </c>
      <c r="O9" s="13">
        <f t="shared" si="1"/>
        <v>5964.826</v>
      </c>
      <c r="P9" s="13">
        <f t="shared" si="1"/>
        <v>5964.826</v>
      </c>
      <c r="Q9" s="13">
        <f t="shared" si="1"/>
        <v>6122.826</v>
      </c>
      <c r="R9" s="13">
        <f t="shared" si="1"/>
        <v>6218.4269999999997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5222</v>
      </c>
      <c r="H11" s="15">
        <v>5222</v>
      </c>
      <c r="I11" s="15">
        <v>5197</v>
      </c>
      <c r="J11" s="15">
        <v>5186</v>
      </c>
      <c r="K11" s="15">
        <v>5186</v>
      </c>
      <c r="L11" s="15">
        <v>5484</v>
      </c>
      <c r="M11" s="15">
        <v>5466</v>
      </c>
      <c r="N11" s="15">
        <v>5467</v>
      </c>
      <c r="O11" s="15">
        <v>5613</v>
      </c>
      <c r="P11" s="15">
        <v>5613</v>
      </c>
      <c r="Q11" s="15">
        <v>5772</v>
      </c>
      <c r="R11" s="15">
        <v>5868</v>
      </c>
    </row>
    <row r="12" spans="1:18">
      <c r="B12" s="2" t="s">
        <v>135</v>
      </c>
      <c r="G12" s="14">
        <f>+SUM(G13:G15)</f>
        <v>363.82600000000002</v>
      </c>
      <c r="H12" s="14">
        <f>+SUM(H13:H15)</f>
        <v>363.82600000000002</v>
      </c>
      <c r="I12" s="14">
        <f>+SUM(I13:I15)</f>
        <v>363.82600000000002</v>
      </c>
      <c r="J12" s="14">
        <f>+SUM(J13:J15)</f>
        <v>363.82600000000002</v>
      </c>
      <c r="K12" s="14">
        <f>+SUM(K13:K15)</f>
        <v>363.82600000000002</v>
      </c>
      <c r="L12" s="14">
        <f t="shared" ref="L12:Q12" si="2">+SUM(L13:L15)</f>
        <v>351.82600000000002</v>
      </c>
      <c r="M12" s="14">
        <f t="shared" si="2"/>
        <v>351.82600000000002</v>
      </c>
      <c r="N12" s="14">
        <f t="shared" si="2"/>
        <v>351.82600000000002</v>
      </c>
      <c r="O12" s="14">
        <f t="shared" si="2"/>
        <v>351.82600000000002</v>
      </c>
      <c r="P12" s="14">
        <f t="shared" si="2"/>
        <v>351.82600000000002</v>
      </c>
      <c r="Q12" s="14">
        <f t="shared" si="2"/>
        <v>350.82600000000002</v>
      </c>
      <c r="R12" s="14">
        <f>+SUM(R13:R15)+1</f>
        <v>350.42700000000002</v>
      </c>
    </row>
    <row r="13" spans="1:18">
      <c r="C13" s="2" t="s">
        <v>12</v>
      </c>
      <c r="G13" s="15">
        <v>167</v>
      </c>
      <c r="H13" s="15">
        <v>167</v>
      </c>
      <c r="I13" s="15">
        <v>167</v>
      </c>
      <c r="J13" s="15">
        <v>167</v>
      </c>
      <c r="K13" s="15">
        <v>167</v>
      </c>
      <c r="L13" s="15">
        <v>167</v>
      </c>
      <c r="M13" s="15">
        <v>167</v>
      </c>
      <c r="N13" s="15">
        <v>167</v>
      </c>
      <c r="O13" s="15">
        <v>167</v>
      </c>
      <c r="P13" s="15">
        <v>167</v>
      </c>
      <c r="Q13" s="15">
        <v>166</v>
      </c>
      <c r="R13" s="15">
        <v>166</v>
      </c>
    </row>
    <row r="14" spans="1:18">
      <c r="C14" s="2" t="s">
        <v>13</v>
      </c>
      <c r="G14" s="15">
        <v>36.826000000000001</v>
      </c>
      <c r="H14" s="15">
        <v>36.826000000000001</v>
      </c>
      <c r="I14" s="15">
        <v>36.826000000000001</v>
      </c>
      <c r="J14" s="15">
        <v>36.826000000000001</v>
      </c>
      <c r="K14" s="15">
        <v>36.826000000000001</v>
      </c>
      <c r="L14" s="15">
        <v>36.826000000000001</v>
      </c>
      <c r="M14" s="15">
        <v>36.826000000000001</v>
      </c>
      <c r="N14" s="15">
        <v>36.826000000000001</v>
      </c>
      <c r="O14" s="15">
        <v>36.826000000000001</v>
      </c>
      <c r="P14" s="15">
        <v>36.826000000000001</v>
      </c>
      <c r="Q14" s="15">
        <v>36.826000000000001</v>
      </c>
      <c r="R14" s="15">
        <v>36.826000000000001</v>
      </c>
    </row>
    <row r="15" spans="1:18">
      <c r="C15" s="2" t="s">
        <v>15</v>
      </c>
      <c r="G15" s="15">
        <v>160</v>
      </c>
      <c r="H15" s="15">
        <v>160</v>
      </c>
      <c r="I15" s="15">
        <v>160</v>
      </c>
      <c r="J15" s="15">
        <v>160</v>
      </c>
      <c r="K15" s="15">
        <v>160</v>
      </c>
      <c r="L15" s="15">
        <v>148</v>
      </c>
      <c r="M15" s="15">
        <v>148</v>
      </c>
      <c r="N15" s="15">
        <v>148</v>
      </c>
      <c r="O15" s="15">
        <v>148</v>
      </c>
      <c r="P15" s="15">
        <v>148</v>
      </c>
      <c r="Q15" s="15">
        <v>148</v>
      </c>
      <c r="R15" s="15">
        <v>146.601</v>
      </c>
    </row>
    <row r="16" spans="1:18"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>
      <c r="A17" s="1" t="s">
        <v>136</v>
      </c>
      <c r="B17" s="1"/>
      <c r="C17" s="1"/>
      <c r="D17" s="1"/>
      <c r="E17" s="1"/>
      <c r="F17" s="1"/>
      <c r="G17" s="13">
        <f t="shared" ref="G17:R17" si="3">+G19+G20</f>
        <v>142043</v>
      </c>
      <c r="H17" s="13">
        <f t="shared" si="3"/>
        <v>150334</v>
      </c>
      <c r="I17" s="13">
        <f t="shared" si="3"/>
        <v>156460</v>
      </c>
      <c r="J17" s="13">
        <f t="shared" si="3"/>
        <v>162553</v>
      </c>
      <c r="K17" s="13">
        <f t="shared" si="3"/>
        <v>161644</v>
      </c>
      <c r="L17" s="13">
        <f t="shared" si="3"/>
        <v>158136</v>
      </c>
      <c r="M17" s="13">
        <f t="shared" si="3"/>
        <v>154884</v>
      </c>
      <c r="N17" s="13">
        <f t="shared" si="3"/>
        <v>147484</v>
      </c>
      <c r="O17" s="13">
        <f t="shared" si="3"/>
        <v>148013</v>
      </c>
      <c r="P17" s="13">
        <f t="shared" si="3"/>
        <v>144613</v>
      </c>
      <c r="Q17" s="13">
        <f t="shared" si="3"/>
        <v>143746</v>
      </c>
      <c r="R17" s="13">
        <f t="shared" si="3"/>
        <v>160699</v>
      </c>
    </row>
    <row r="18" spans="1:18"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>
      <c r="B19" s="2" t="s">
        <v>134</v>
      </c>
      <c r="G19" s="15">
        <v>109201</v>
      </c>
      <c r="H19" s="15">
        <v>115522</v>
      </c>
      <c r="I19" s="15">
        <v>121487</v>
      </c>
      <c r="J19" s="15">
        <v>126550</v>
      </c>
      <c r="K19" s="15">
        <v>126670</v>
      </c>
      <c r="L19" s="15">
        <v>124687</v>
      </c>
      <c r="M19" s="15">
        <v>122138</v>
      </c>
      <c r="N19" s="15">
        <v>116941</v>
      </c>
      <c r="O19" s="15">
        <v>117956</v>
      </c>
      <c r="P19" s="15">
        <v>115783</v>
      </c>
      <c r="Q19" s="15">
        <v>115498</v>
      </c>
      <c r="R19" s="15">
        <v>133336</v>
      </c>
    </row>
    <row r="20" spans="1:18">
      <c r="B20" s="2" t="s">
        <v>135</v>
      </c>
      <c r="G20" s="14">
        <f>+SUM(G21:G24)+1</f>
        <v>32842</v>
      </c>
      <c r="H20" s="14">
        <f>+SUM(H21:H24)</f>
        <v>34812</v>
      </c>
      <c r="I20" s="14">
        <f>+SUM(I21:I24)+1</f>
        <v>34973</v>
      </c>
      <c r="J20" s="14">
        <f>+SUM(J21:J24)</f>
        <v>36003</v>
      </c>
      <c r="K20" s="14">
        <f>+SUM(K21:K24)-1</f>
        <v>34974</v>
      </c>
      <c r="L20" s="14">
        <f>+SUM(L21:L24)+1</f>
        <v>33449</v>
      </c>
      <c r="M20" s="14">
        <f>+SUM(M21:M24)-1</f>
        <v>32746</v>
      </c>
      <c r="N20" s="14">
        <f>+SUM(N21:N24)</f>
        <v>30543</v>
      </c>
      <c r="O20" s="14">
        <f>+SUM(O21:O24)</f>
        <v>30057</v>
      </c>
      <c r="P20" s="14">
        <f>+SUM(P21:P24)-1</f>
        <v>28830</v>
      </c>
      <c r="Q20" s="14">
        <f>+SUM(Q21:Q24)</f>
        <v>28248</v>
      </c>
      <c r="R20" s="14">
        <f>+SUM(R21:R24)-1</f>
        <v>27363</v>
      </c>
    </row>
    <row r="21" spans="1:18">
      <c r="C21" s="2" t="s">
        <v>12</v>
      </c>
      <c r="G21" s="15">
        <v>7292</v>
      </c>
      <c r="H21" s="15">
        <v>7675</v>
      </c>
      <c r="I21" s="15">
        <v>7652</v>
      </c>
      <c r="J21" s="15">
        <v>7726</v>
      </c>
      <c r="K21" s="15">
        <v>7675</v>
      </c>
      <c r="L21" s="15">
        <v>7430</v>
      </c>
      <c r="M21" s="15">
        <v>7329</v>
      </c>
      <c r="N21" s="15">
        <v>7123</v>
      </c>
      <c r="O21" s="15">
        <v>6810</v>
      </c>
      <c r="P21" s="15">
        <v>6610</v>
      </c>
      <c r="Q21" s="15">
        <v>6658</v>
      </c>
      <c r="R21" s="15">
        <v>6522</v>
      </c>
    </row>
    <row r="22" spans="1:18">
      <c r="C22" s="2" t="s">
        <v>13</v>
      </c>
      <c r="G22" s="15">
        <v>24286</v>
      </c>
      <c r="H22" s="15">
        <v>25795</v>
      </c>
      <c r="I22" s="15">
        <v>25928</v>
      </c>
      <c r="J22" s="15">
        <v>26899</v>
      </c>
      <c r="K22" s="15">
        <v>25971</v>
      </c>
      <c r="L22" s="15">
        <v>24711</v>
      </c>
      <c r="M22" s="15">
        <v>24132</v>
      </c>
      <c r="N22" s="15">
        <v>22205</v>
      </c>
      <c r="O22" s="15">
        <v>22034</v>
      </c>
      <c r="P22" s="15">
        <v>21081</v>
      </c>
      <c r="Q22" s="15">
        <v>20483</v>
      </c>
      <c r="R22" s="15">
        <v>19742</v>
      </c>
    </row>
    <row r="23" spans="1:18">
      <c r="C23" s="2" t="s">
        <v>21</v>
      </c>
      <c r="G23" s="15">
        <v>350</v>
      </c>
      <c r="H23" s="15">
        <v>366</v>
      </c>
      <c r="I23" s="15">
        <v>346</v>
      </c>
      <c r="J23" s="15">
        <v>324</v>
      </c>
      <c r="K23" s="15">
        <v>321</v>
      </c>
      <c r="L23" s="15">
        <v>317</v>
      </c>
      <c r="M23" s="15">
        <v>318</v>
      </c>
      <c r="N23" s="15">
        <v>321</v>
      </c>
      <c r="O23" s="15">
        <v>299</v>
      </c>
      <c r="P23" s="15">
        <v>276</v>
      </c>
      <c r="Q23" s="15">
        <v>278</v>
      </c>
      <c r="R23" s="15">
        <v>277</v>
      </c>
    </row>
    <row r="24" spans="1:18">
      <c r="C24" s="2" t="s">
        <v>15</v>
      </c>
      <c r="G24" s="15">
        <v>913</v>
      </c>
      <c r="H24" s="15">
        <v>976</v>
      </c>
      <c r="I24" s="15">
        <v>1046</v>
      </c>
      <c r="J24" s="15">
        <v>1054</v>
      </c>
      <c r="K24" s="15">
        <v>1008</v>
      </c>
      <c r="L24" s="15">
        <v>990</v>
      </c>
      <c r="M24" s="15">
        <v>968</v>
      </c>
      <c r="N24" s="15">
        <v>894</v>
      </c>
      <c r="O24" s="15">
        <v>914</v>
      </c>
      <c r="P24" s="15">
        <v>864</v>
      </c>
      <c r="Q24" s="15">
        <v>829</v>
      </c>
      <c r="R24" s="15">
        <v>823</v>
      </c>
    </row>
    <row r="25" spans="1:18">
      <c r="G25" s="15"/>
    </row>
    <row r="26" spans="1:18">
      <c r="A26" s="9"/>
      <c r="B26" s="9"/>
      <c r="C26" s="9"/>
      <c r="D26" s="9"/>
      <c r="E26" s="9"/>
      <c r="F26" s="9"/>
    </row>
    <row r="27" spans="1:18">
      <c r="A27" s="2" t="s">
        <v>80</v>
      </c>
    </row>
    <row r="28" spans="1:18">
      <c r="A28" s="1"/>
    </row>
    <row r="29" spans="1:18">
      <c r="A29" s="1"/>
    </row>
    <row r="30" spans="1:18">
      <c r="A30" s="1"/>
    </row>
    <row r="31" spans="1:18">
      <c r="A31" s="1"/>
    </row>
    <row r="32" spans="1:18">
      <c r="A32" s="1"/>
    </row>
    <row r="33" spans="1:7">
      <c r="A33" s="11" t="s">
        <v>22</v>
      </c>
    </row>
    <row r="34" spans="1:7">
      <c r="A34" s="11" t="s">
        <v>68</v>
      </c>
    </row>
    <row r="35" spans="1:7">
      <c r="A35" s="11" t="s">
        <v>140</v>
      </c>
      <c r="F35" s="11"/>
    </row>
    <row r="36" spans="1:7">
      <c r="A36" s="83" t="s">
        <v>35</v>
      </c>
    </row>
    <row r="37" spans="1:7">
      <c r="F37" s="11"/>
    </row>
    <row r="38" spans="1:7">
      <c r="A38" s="11" t="s">
        <v>35</v>
      </c>
      <c r="F38" s="11"/>
    </row>
    <row r="39" spans="1:7">
      <c r="F39" s="11"/>
    </row>
    <row r="46" spans="1:7">
      <c r="G46" s="79"/>
    </row>
    <row r="47" spans="1:7">
      <c r="G47" s="11"/>
    </row>
    <row r="48" spans="1:7">
      <c r="G48" s="11"/>
    </row>
    <row r="49" spans="7:7">
      <c r="G49" s="11"/>
    </row>
    <row r="50" spans="7:7">
      <c r="G50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0">
    <pageSetUpPr fitToPage="1"/>
  </sheetPr>
  <dimension ref="A1:V49"/>
  <sheetViews>
    <sheetView workbookViewId="0"/>
  </sheetViews>
  <sheetFormatPr defaultRowHeight="16.5"/>
  <cols>
    <col min="1" max="1" width="2.85546875" style="2" customWidth="1"/>
    <col min="2" max="3" width="1.7109375" style="2" customWidth="1"/>
    <col min="4" max="4" width="18.42578125" style="2" customWidth="1"/>
    <col min="5" max="5" width="10.140625" style="2" bestFit="1" customWidth="1"/>
    <col min="6" max="6" width="10.85546875" style="15" hidden="1" customWidth="1"/>
    <col min="7" max="7" width="4.140625" style="15" hidden="1" customWidth="1"/>
    <col min="8" max="8" width="2.5703125" style="15" hidden="1" customWidth="1"/>
    <col min="9" max="9" width="4.140625" style="15" hidden="1" customWidth="1"/>
    <col min="10" max="10" width="4.85546875" style="15" hidden="1" customWidth="1"/>
    <col min="11" max="11" width="6" style="15" hidden="1" customWidth="1"/>
    <col min="12" max="22" width="10.140625" style="2" bestFit="1" customWidth="1"/>
    <col min="23" max="256" width="9.140625" style="2"/>
    <col min="257" max="257" width="2.85546875" style="2" customWidth="1"/>
    <col min="258" max="259" width="1.7109375" style="2" customWidth="1"/>
    <col min="260" max="260" width="12.85546875" style="2" customWidth="1"/>
    <col min="261" max="261" width="9.7109375" style="2" customWidth="1"/>
    <col min="262" max="267" width="0" style="2" hidden="1" customWidth="1"/>
    <col min="268" max="277" width="9.7109375" style="2" customWidth="1"/>
    <col min="278" max="278" width="9.5703125" style="2" customWidth="1"/>
    <col min="279" max="512" width="9.140625" style="2"/>
    <col min="513" max="513" width="2.85546875" style="2" customWidth="1"/>
    <col min="514" max="515" width="1.7109375" style="2" customWidth="1"/>
    <col min="516" max="516" width="12.85546875" style="2" customWidth="1"/>
    <col min="517" max="517" width="9.7109375" style="2" customWidth="1"/>
    <col min="518" max="523" width="0" style="2" hidden="1" customWidth="1"/>
    <col min="524" max="533" width="9.7109375" style="2" customWidth="1"/>
    <col min="534" max="534" width="9.5703125" style="2" customWidth="1"/>
    <col min="535" max="768" width="9.140625" style="2"/>
    <col min="769" max="769" width="2.85546875" style="2" customWidth="1"/>
    <col min="770" max="771" width="1.7109375" style="2" customWidth="1"/>
    <col min="772" max="772" width="12.85546875" style="2" customWidth="1"/>
    <col min="773" max="773" width="9.7109375" style="2" customWidth="1"/>
    <col min="774" max="779" width="0" style="2" hidden="1" customWidth="1"/>
    <col min="780" max="789" width="9.7109375" style="2" customWidth="1"/>
    <col min="790" max="790" width="9.5703125" style="2" customWidth="1"/>
    <col min="791" max="1024" width="9.140625" style="2"/>
    <col min="1025" max="1025" width="2.85546875" style="2" customWidth="1"/>
    <col min="1026" max="1027" width="1.7109375" style="2" customWidth="1"/>
    <col min="1028" max="1028" width="12.85546875" style="2" customWidth="1"/>
    <col min="1029" max="1029" width="9.7109375" style="2" customWidth="1"/>
    <col min="1030" max="1035" width="0" style="2" hidden="1" customWidth="1"/>
    <col min="1036" max="1045" width="9.7109375" style="2" customWidth="1"/>
    <col min="1046" max="1046" width="9.5703125" style="2" customWidth="1"/>
    <col min="1047" max="1280" width="9.140625" style="2"/>
    <col min="1281" max="1281" width="2.85546875" style="2" customWidth="1"/>
    <col min="1282" max="1283" width="1.7109375" style="2" customWidth="1"/>
    <col min="1284" max="1284" width="12.85546875" style="2" customWidth="1"/>
    <col min="1285" max="1285" width="9.7109375" style="2" customWidth="1"/>
    <col min="1286" max="1291" width="0" style="2" hidden="1" customWidth="1"/>
    <col min="1292" max="1301" width="9.7109375" style="2" customWidth="1"/>
    <col min="1302" max="1302" width="9.5703125" style="2" customWidth="1"/>
    <col min="1303" max="1536" width="9.140625" style="2"/>
    <col min="1537" max="1537" width="2.85546875" style="2" customWidth="1"/>
    <col min="1538" max="1539" width="1.7109375" style="2" customWidth="1"/>
    <col min="1540" max="1540" width="12.85546875" style="2" customWidth="1"/>
    <col min="1541" max="1541" width="9.7109375" style="2" customWidth="1"/>
    <col min="1542" max="1547" width="0" style="2" hidden="1" customWidth="1"/>
    <col min="1548" max="1557" width="9.7109375" style="2" customWidth="1"/>
    <col min="1558" max="1558" width="9.5703125" style="2" customWidth="1"/>
    <col min="1559" max="1792" width="9.140625" style="2"/>
    <col min="1793" max="1793" width="2.85546875" style="2" customWidth="1"/>
    <col min="1794" max="1795" width="1.7109375" style="2" customWidth="1"/>
    <col min="1796" max="1796" width="12.85546875" style="2" customWidth="1"/>
    <col min="1797" max="1797" width="9.7109375" style="2" customWidth="1"/>
    <col min="1798" max="1803" width="0" style="2" hidden="1" customWidth="1"/>
    <col min="1804" max="1813" width="9.7109375" style="2" customWidth="1"/>
    <col min="1814" max="1814" width="9.5703125" style="2" customWidth="1"/>
    <col min="1815" max="2048" width="9.140625" style="2"/>
    <col min="2049" max="2049" width="2.85546875" style="2" customWidth="1"/>
    <col min="2050" max="2051" width="1.7109375" style="2" customWidth="1"/>
    <col min="2052" max="2052" width="12.85546875" style="2" customWidth="1"/>
    <col min="2053" max="2053" width="9.7109375" style="2" customWidth="1"/>
    <col min="2054" max="2059" width="0" style="2" hidden="1" customWidth="1"/>
    <col min="2060" max="2069" width="9.7109375" style="2" customWidth="1"/>
    <col min="2070" max="2070" width="9.5703125" style="2" customWidth="1"/>
    <col min="2071" max="2304" width="9.140625" style="2"/>
    <col min="2305" max="2305" width="2.85546875" style="2" customWidth="1"/>
    <col min="2306" max="2307" width="1.7109375" style="2" customWidth="1"/>
    <col min="2308" max="2308" width="12.85546875" style="2" customWidth="1"/>
    <col min="2309" max="2309" width="9.7109375" style="2" customWidth="1"/>
    <col min="2310" max="2315" width="0" style="2" hidden="1" customWidth="1"/>
    <col min="2316" max="2325" width="9.7109375" style="2" customWidth="1"/>
    <col min="2326" max="2326" width="9.5703125" style="2" customWidth="1"/>
    <col min="2327" max="2560" width="9.140625" style="2"/>
    <col min="2561" max="2561" width="2.85546875" style="2" customWidth="1"/>
    <col min="2562" max="2563" width="1.7109375" style="2" customWidth="1"/>
    <col min="2564" max="2564" width="12.85546875" style="2" customWidth="1"/>
    <col min="2565" max="2565" width="9.7109375" style="2" customWidth="1"/>
    <col min="2566" max="2571" width="0" style="2" hidden="1" customWidth="1"/>
    <col min="2572" max="2581" width="9.7109375" style="2" customWidth="1"/>
    <col min="2582" max="2582" width="9.5703125" style="2" customWidth="1"/>
    <col min="2583" max="2816" width="9.140625" style="2"/>
    <col min="2817" max="2817" width="2.85546875" style="2" customWidth="1"/>
    <col min="2818" max="2819" width="1.7109375" style="2" customWidth="1"/>
    <col min="2820" max="2820" width="12.85546875" style="2" customWidth="1"/>
    <col min="2821" max="2821" width="9.7109375" style="2" customWidth="1"/>
    <col min="2822" max="2827" width="0" style="2" hidden="1" customWidth="1"/>
    <col min="2828" max="2837" width="9.7109375" style="2" customWidth="1"/>
    <col min="2838" max="2838" width="9.5703125" style="2" customWidth="1"/>
    <col min="2839" max="3072" width="9.140625" style="2"/>
    <col min="3073" max="3073" width="2.85546875" style="2" customWidth="1"/>
    <col min="3074" max="3075" width="1.7109375" style="2" customWidth="1"/>
    <col min="3076" max="3076" width="12.85546875" style="2" customWidth="1"/>
    <col min="3077" max="3077" width="9.7109375" style="2" customWidth="1"/>
    <col min="3078" max="3083" width="0" style="2" hidden="1" customWidth="1"/>
    <col min="3084" max="3093" width="9.7109375" style="2" customWidth="1"/>
    <col min="3094" max="3094" width="9.5703125" style="2" customWidth="1"/>
    <col min="3095" max="3328" width="9.140625" style="2"/>
    <col min="3329" max="3329" width="2.85546875" style="2" customWidth="1"/>
    <col min="3330" max="3331" width="1.7109375" style="2" customWidth="1"/>
    <col min="3332" max="3332" width="12.85546875" style="2" customWidth="1"/>
    <col min="3333" max="3333" width="9.7109375" style="2" customWidth="1"/>
    <col min="3334" max="3339" width="0" style="2" hidden="1" customWidth="1"/>
    <col min="3340" max="3349" width="9.7109375" style="2" customWidth="1"/>
    <col min="3350" max="3350" width="9.5703125" style="2" customWidth="1"/>
    <col min="3351" max="3584" width="9.140625" style="2"/>
    <col min="3585" max="3585" width="2.85546875" style="2" customWidth="1"/>
    <col min="3586" max="3587" width="1.7109375" style="2" customWidth="1"/>
    <col min="3588" max="3588" width="12.85546875" style="2" customWidth="1"/>
    <col min="3589" max="3589" width="9.7109375" style="2" customWidth="1"/>
    <col min="3590" max="3595" width="0" style="2" hidden="1" customWidth="1"/>
    <col min="3596" max="3605" width="9.7109375" style="2" customWidth="1"/>
    <col min="3606" max="3606" width="9.5703125" style="2" customWidth="1"/>
    <col min="3607" max="3840" width="9.140625" style="2"/>
    <col min="3841" max="3841" width="2.85546875" style="2" customWidth="1"/>
    <col min="3842" max="3843" width="1.7109375" style="2" customWidth="1"/>
    <col min="3844" max="3844" width="12.85546875" style="2" customWidth="1"/>
    <col min="3845" max="3845" width="9.7109375" style="2" customWidth="1"/>
    <col min="3846" max="3851" width="0" style="2" hidden="1" customWidth="1"/>
    <col min="3852" max="3861" width="9.7109375" style="2" customWidth="1"/>
    <col min="3862" max="3862" width="9.5703125" style="2" customWidth="1"/>
    <col min="3863" max="4096" width="9.140625" style="2"/>
    <col min="4097" max="4097" width="2.85546875" style="2" customWidth="1"/>
    <col min="4098" max="4099" width="1.7109375" style="2" customWidth="1"/>
    <col min="4100" max="4100" width="12.85546875" style="2" customWidth="1"/>
    <col min="4101" max="4101" width="9.7109375" style="2" customWidth="1"/>
    <col min="4102" max="4107" width="0" style="2" hidden="1" customWidth="1"/>
    <col min="4108" max="4117" width="9.7109375" style="2" customWidth="1"/>
    <col min="4118" max="4118" width="9.5703125" style="2" customWidth="1"/>
    <col min="4119" max="4352" width="9.140625" style="2"/>
    <col min="4353" max="4353" width="2.85546875" style="2" customWidth="1"/>
    <col min="4354" max="4355" width="1.7109375" style="2" customWidth="1"/>
    <col min="4356" max="4356" width="12.85546875" style="2" customWidth="1"/>
    <col min="4357" max="4357" width="9.7109375" style="2" customWidth="1"/>
    <col min="4358" max="4363" width="0" style="2" hidden="1" customWidth="1"/>
    <col min="4364" max="4373" width="9.7109375" style="2" customWidth="1"/>
    <col min="4374" max="4374" width="9.5703125" style="2" customWidth="1"/>
    <col min="4375" max="4608" width="9.140625" style="2"/>
    <col min="4609" max="4609" width="2.85546875" style="2" customWidth="1"/>
    <col min="4610" max="4611" width="1.7109375" style="2" customWidth="1"/>
    <col min="4612" max="4612" width="12.85546875" style="2" customWidth="1"/>
    <col min="4613" max="4613" width="9.7109375" style="2" customWidth="1"/>
    <col min="4614" max="4619" width="0" style="2" hidden="1" customWidth="1"/>
    <col min="4620" max="4629" width="9.7109375" style="2" customWidth="1"/>
    <col min="4630" max="4630" width="9.5703125" style="2" customWidth="1"/>
    <col min="4631" max="4864" width="9.140625" style="2"/>
    <col min="4865" max="4865" width="2.85546875" style="2" customWidth="1"/>
    <col min="4866" max="4867" width="1.7109375" style="2" customWidth="1"/>
    <col min="4868" max="4868" width="12.85546875" style="2" customWidth="1"/>
    <col min="4869" max="4869" width="9.7109375" style="2" customWidth="1"/>
    <col min="4870" max="4875" width="0" style="2" hidden="1" customWidth="1"/>
    <col min="4876" max="4885" width="9.7109375" style="2" customWidth="1"/>
    <col min="4886" max="4886" width="9.5703125" style="2" customWidth="1"/>
    <col min="4887" max="5120" width="9.140625" style="2"/>
    <col min="5121" max="5121" width="2.85546875" style="2" customWidth="1"/>
    <col min="5122" max="5123" width="1.7109375" style="2" customWidth="1"/>
    <col min="5124" max="5124" width="12.85546875" style="2" customWidth="1"/>
    <col min="5125" max="5125" width="9.7109375" style="2" customWidth="1"/>
    <col min="5126" max="5131" width="0" style="2" hidden="1" customWidth="1"/>
    <col min="5132" max="5141" width="9.7109375" style="2" customWidth="1"/>
    <col min="5142" max="5142" width="9.5703125" style="2" customWidth="1"/>
    <col min="5143" max="5376" width="9.140625" style="2"/>
    <col min="5377" max="5377" width="2.85546875" style="2" customWidth="1"/>
    <col min="5378" max="5379" width="1.7109375" style="2" customWidth="1"/>
    <col min="5380" max="5380" width="12.85546875" style="2" customWidth="1"/>
    <col min="5381" max="5381" width="9.7109375" style="2" customWidth="1"/>
    <col min="5382" max="5387" width="0" style="2" hidden="1" customWidth="1"/>
    <col min="5388" max="5397" width="9.7109375" style="2" customWidth="1"/>
    <col min="5398" max="5398" width="9.5703125" style="2" customWidth="1"/>
    <col min="5399" max="5632" width="9.140625" style="2"/>
    <col min="5633" max="5633" width="2.85546875" style="2" customWidth="1"/>
    <col min="5634" max="5635" width="1.7109375" style="2" customWidth="1"/>
    <col min="5636" max="5636" width="12.85546875" style="2" customWidth="1"/>
    <col min="5637" max="5637" width="9.7109375" style="2" customWidth="1"/>
    <col min="5638" max="5643" width="0" style="2" hidden="1" customWidth="1"/>
    <col min="5644" max="5653" width="9.7109375" style="2" customWidth="1"/>
    <col min="5654" max="5654" width="9.5703125" style="2" customWidth="1"/>
    <col min="5655" max="5888" width="9.140625" style="2"/>
    <col min="5889" max="5889" width="2.85546875" style="2" customWidth="1"/>
    <col min="5890" max="5891" width="1.7109375" style="2" customWidth="1"/>
    <col min="5892" max="5892" width="12.85546875" style="2" customWidth="1"/>
    <col min="5893" max="5893" width="9.7109375" style="2" customWidth="1"/>
    <col min="5894" max="5899" width="0" style="2" hidden="1" customWidth="1"/>
    <col min="5900" max="5909" width="9.7109375" style="2" customWidth="1"/>
    <col min="5910" max="5910" width="9.5703125" style="2" customWidth="1"/>
    <col min="5911" max="6144" width="9.140625" style="2"/>
    <col min="6145" max="6145" width="2.85546875" style="2" customWidth="1"/>
    <col min="6146" max="6147" width="1.7109375" style="2" customWidth="1"/>
    <col min="6148" max="6148" width="12.85546875" style="2" customWidth="1"/>
    <col min="6149" max="6149" width="9.7109375" style="2" customWidth="1"/>
    <col min="6150" max="6155" width="0" style="2" hidden="1" customWidth="1"/>
    <col min="6156" max="6165" width="9.7109375" style="2" customWidth="1"/>
    <col min="6166" max="6166" width="9.5703125" style="2" customWidth="1"/>
    <col min="6167" max="6400" width="9.140625" style="2"/>
    <col min="6401" max="6401" width="2.85546875" style="2" customWidth="1"/>
    <col min="6402" max="6403" width="1.7109375" style="2" customWidth="1"/>
    <col min="6404" max="6404" width="12.85546875" style="2" customWidth="1"/>
    <col min="6405" max="6405" width="9.7109375" style="2" customWidth="1"/>
    <col min="6406" max="6411" width="0" style="2" hidden="1" customWidth="1"/>
    <col min="6412" max="6421" width="9.7109375" style="2" customWidth="1"/>
    <col min="6422" max="6422" width="9.5703125" style="2" customWidth="1"/>
    <col min="6423" max="6656" width="9.140625" style="2"/>
    <col min="6657" max="6657" width="2.85546875" style="2" customWidth="1"/>
    <col min="6658" max="6659" width="1.7109375" style="2" customWidth="1"/>
    <col min="6660" max="6660" width="12.85546875" style="2" customWidth="1"/>
    <col min="6661" max="6661" width="9.7109375" style="2" customWidth="1"/>
    <col min="6662" max="6667" width="0" style="2" hidden="1" customWidth="1"/>
    <col min="6668" max="6677" width="9.7109375" style="2" customWidth="1"/>
    <col min="6678" max="6678" width="9.5703125" style="2" customWidth="1"/>
    <col min="6679" max="6912" width="9.140625" style="2"/>
    <col min="6913" max="6913" width="2.85546875" style="2" customWidth="1"/>
    <col min="6914" max="6915" width="1.7109375" style="2" customWidth="1"/>
    <col min="6916" max="6916" width="12.85546875" style="2" customWidth="1"/>
    <col min="6917" max="6917" width="9.7109375" style="2" customWidth="1"/>
    <col min="6918" max="6923" width="0" style="2" hidden="1" customWidth="1"/>
    <col min="6924" max="6933" width="9.7109375" style="2" customWidth="1"/>
    <col min="6934" max="6934" width="9.5703125" style="2" customWidth="1"/>
    <col min="6935" max="7168" width="9.140625" style="2"/>
    <col min="7169" max="7169" width="2.85546875" style="2" customWidth="1"/>
    <col min="7170" max="7171" width="1.7109375" style="2" customWidth="1"/>
    <col min="7172" max="7172" width="12.85546875" style="2" customWidth="1"/>
    <col min="7173" max="7173" width="9.7109375" style="2" customWidth="1"/>
    <col min="7174" max="7179" width="0" style="2" hidden="1" customWidth="1"/>
    <col min="7180" max="7189" width="9.7109375" style="2" customWidth="1"/>
    <col min="7190" max="7190" width="9.5703125" style="2" customWidth="1"/>
    <col min="7191" max="7424" width="9.140625" style="2"/>
    <col min="7425" max="7425" width="2.85546875" style="2" customWidth="1"/>
    <col min="7426" max="7427" width="1.7109375" style="2" customWidth="1"/>
    <col min="7428" max="7428" width="12.85546875" style="2" customWidth="1"/>
    <col min="7429" max="7429" width="9.7109375" style="2" customWidth="1"/>
    <col min="7430" max="7435" width="0" style="2" hidden="1" customWidth="1"/>
    <col min="7436" max="7445" width="9.7109375" style="2" customWidth="1"/>
    <col min="7446" max="7446" width="9.5703125" style="2" customWidth="1"/>
    <col min="7447" max="7680" width="9.140625" style="2"/>
    <col min="7681" max="7681" width="2.85546875" style="2" customWidth="1"/>
    <col min="7682" max="7683" width="1.7109375" style="2" customWidth="1"/>
    <col min="7684" max="7684" width="12.85546875" style="2" customWidth="1"/>
    <col min="7685" max="7685" width="9.7109375" style="2" customWidth="1"/>
    <col min="7686" max="7691" width="0" style="2" hidden="1" customWidth="1"/>
    <col min="7692" max="7701" width="9.7109375" style="2" customWidth="1"/>
    <col min="7702" max="7702" width="9.5703125" style="2" customWidth="1"/>
    <col min="7703" max="7936" width="9.140625" style="2"/>
    <col min="7937" max="7937" width="2.85546875" style="2" customWidth="1"/>
    <col min="7938" max="7939" width="1.7109375" style="2" customWidth="1"/>
    <col min="7940" max="7940" width="12.85546875" style="2" customWidth="1"/>
    <col min="7941" max="7941" width="9.7109375" style="2" customWidth="1"/>
    <col min="7942" max="7947" width="0" style="2" hidden="1" customWidth="1"/>
    <col min="7948" max="7957" width="9.7109375" style="2" customWidth="1"/>
    <col min="7958" max="7958" width="9.5703125" style="2" customWidth="1"/>
    <col min="7959" max="8192" width="9.140625" style="2"/>
    <col min="8193" max="8193" width="2.85546875" style="2" customWidth="1"/>
    <col min="8194" max="8195" width="1.7109375" style="2" customWidth="1"/>
    <col min="8196" max="8196" width="12.85546875" style="2" customWidth="1"/>
    <col min="8197" max="8197" width="9.7109375" style="2" customWidth="1"/>
    <col min="8198" max="8203" width="0" style="2" hidden="1" customWidth="1"/>
    <col min="8204" max="8213" width="9.7109375" style="2" customWidth="1"/>
    <col min="8214" max="8214" width="9.5703125" style="2" customWidth="1"/>
    <col min="8215" max="8448" width="9.140625" style="2"/>
    <col min="8449" max="8449" width="2.85546875" style="2" customWidth="1"/>
    <col min="8450" max="8451" width="1.7109375" style="2" customWidth="1"/>
    <col min="8452" max="8452" width="12.85546875" style="2" customWidth="1"/>
    <col min="8453" max="8453" width="9.7109375" style="2" customWidth="1"/>
    <col min="8454" max="8459" width="0" style="2" hidden="1" customWidth="1"/>
    <col min="8460" max="8469" width="9.7109375" style="2" customWidth="1"/>
    <col min="8470" max="8470" width="9.5703125" style="2" customWidth="1"/>
    <col min="8471" max="8704" width="9.140625" style="2"/>
    <col min="8705" max="8705" width="2.85546875" style="2" customWidth="1"/>
    <col min="8706" max="8707" width="1.7109375" style="2" customWidth="1"/>
    <col min="8708" max="8708" width="12.85546875" style="2" customWidth="1"/>
    <col min="8709" max="8709" width="9.7109375" style="2" customWidth="1"/>
    <col min="8710" max="8715" width="0" style="2" hidden="1" customWidth="1"/>
    <col min="8716" max="8725" width="9.7109375" style="2" customWidth="1"/>
    <col min="8726" max="8726" width="9.5703125" style="2" customWidth="1"/>
    <col min="8727" max="8960" width="9.140625" style="2"/>
    <col min="8961" max="8961" width="2.85546875" style="2" customWidth="1"/>
    <col min="8962" max="8963" width="1.7109375" style="2" customWidth="1"/>
    <col min="8964" max="8964" width="12.85546875" style="2" customWidth="1"/>
    <col min="8965" max="8965" width="9.7109375" style="2" customWidth="1"/>
    <col min="8966" max="8971" width="0" style="2" hidden="1" customWidth="1"/>
    <col min="8972" max="8981" width="9.7109375" style="2" customWidth="1"/>
    <col min="8982" max="8982" width="9.5703125" style="2" customWidth="1"/>
    <col min="8983" max="9216" width="9.140625" style="2"/>
    <col min="9217" max="9217" width="2.85546875" style="2" customWidth="1"/>
    <col min="9218" max="9219" width="1.7109375" style="2" customWidth="1"/>
    <col min="9220" max="9220" width="12.85546875" style="2" customWidth="1"/>
    <col min="9221" max="9221" width="9.7109375" style="2" customWidth="1"/>
    <col min="9222" max="9227" width="0" style="2" hidden="1" customWidth="1"/>
    <col min="9228" max="9237" width="9.7109375" style="2" customWidth="1"/>
    <col min="9238" max="9238" width="9.5703125" style="2" customWidth="1"/>
    <col min="9239" max="9472" width="9.140625" style="2"/>
    <col min="9473" max="9473" width="2.85546875" style="2" customWidth="1"/>
    <col min="9474" max="9475" width="1.7109375" style="2" customWidth="1"/>
    <col min="9476" max="9476" width="12.85546875" style="2" customWidth="1"/>
    <col min="9477" max="9477" width="9.7109375" style="2" customWidth="1"/>
    <col min="9478" max="9483" width="0" style="2" hidden="1" customWidth="1"/>
    <col min="9484" max="9493" width="9.7109375" style="2" customWidth="1"/>
    <col min="9494" max="9494" width="9.5703125" style="2" customWidth="1"/>
    <col min="9495" max="9728" width="9.140625" style="2"/>
    <col min="9729" max="9729" width="2.85546875" style="2" customWidth="1"/>
    <col min="9730" max="9731" width="1.7109375" style="2" customWidth="1"/>
    <col min="9732" max="9732" width="12.85546875" style="2" customWidth="1"/>
    <col min="9733" max="9733" width="9.7109375" style="2" customWidth="1"/>
    <col min="9734" max="9739" width="0" style="2" hidden="1" customWidth="1"/>
    <col min="9740" max="9749" width="9.7109375" style="2" customWidth="1"/>
    <col min="9750" max="9750" width="9.5703125" style="2" customWidth="1"/>
    <col min="9751" max="9984" width="9.140625" style="2"/>
    <col min="9985" max="9985" width="2.85546875" style="2" customWidth="1"/>
    <col min="9986" max="9987" width="1.7109375" style="2" customWidth="1"/>
    <col min="9988" max="9988" width="12.85546875" style="2" customWidth="1"/>
    <col min="9989" max="9989" width="9.7109375" style="2" customWidth="1"/>
    <col min="9990" max="9995" width="0" style="2" hidden="1" customWidth="1"/>
    <col min="9996" max="10005" width="9.7109375" style="2" customWidth="1"/>
    <col min="10006" max="10006" width="9.5703125" style="2" customWidth="1"/>
    <col min="10007" max="10240" width="9.140625" style="2"/>
    <col min="10241" max="10241" width="2.85546875" style="2" customWidth="1"/>
    <col min="10242" max="10243" width="1.7109375" style="2" customWidth="1"/>
    <col min="10244" max="10244" width="12.85546875" style="2" customWidth="1"/>
    <col min="10245" max="10245" width="9.7109375" style="2" customWidth="1"/>
    <col min="10246" max="10251" width="0" style="2" hidden="1" customWidth="1"/>
    <col min="10252" max="10261" width="9.7109375" style="2" customWidth="1"/>
    <col min="10262" max="10262" width="9.5703125" style="2" customWidth="1"/>
    <col min="10263" max="10496" width="9.140625" style="2"/>
    <col min="10497" max="10497" width="2.85546875" style="2" customWidth="1"/>
    <col min="10498" max="10499" width="1.7109375" style="2" customWidth="1"/>
    <col min="10500" max="10500" width="12.85546875" style="2" customWidth="1"/>
    <col min="10501" max="10501" width="9.7109375" style="2" customWidth="1"/>
    <col min="10502" max="10507" width="0" style="2" hidden="1" customWidth="1"/>
    <col min="10508" max="10517" width="9.7109375" style="2" customWidth="1"/>
    <col min="10518" max="10518" width="9.5703125" style="2" customWidth="1"/>
    <col min="10519" max="10752" width="9.140625" style="2"/>
    <col min="10753" max="10753" width="2.85546875" style="2" customWidth="1"/>
    <col min="10754" max="10755" width="1.7109375" style="2" customWidth="1"/>
    <col min="10756" max="10756" width="12.85546875" style="2" customWidth="1"/>
    <col min="10757" max="10757" width="9.7109375" style="2" customWidth="1"/>
    <col min="10758" max="10763" width="0" style="2" hidden="1" customWidth="1"/>
    <col min="10764" max="10773" width="9.7109375" style="2" customWidth="1"/>
    <col min="10774" max="10774" width="9.5703125" style="2" customWidth="1"/>
    <col min="10775" max="11008" width="9.140625" style="2"/>
    <col min="11009" max="11009" width="2.85546875" style="2" customWidth="1"/>
    <col min="11010" max="11011" width="1.7109375" style="2" customWidth="1"/>
    <col min="11012" max="11012" width="12.85546875" style="2" customWidth="1"/>
    <col min="11013" max="11013" width="9.7109375" style="2" customWidth="1"/>
    <col min="11014" max="11019" width="0" style="2" hidden="1" customWidth="1"/>
    <col min="11020" max="11029" width="9.7109375" style="2" customWidth="1"/>
    <col min="11030" max="11030" width="9.5703125" style="2" customWidth="1"/>
    <col min="11031" max="11264" width="9.140625" style="2"/>
    <col min="11265" max="11265" width="2.85546875" style="2" customWidth="1"/>
    <col min="11266" max="11267" width="1.7109375" style="2" customWidth="1"/>
    <col min="11268" max="11268" width="12.85546875" style="2" customWidth="1"/>
    <col min="11269" max="11269" width="9.7109375" style="2" customWidth="1"/>
    <col min="11270" max="11275" width="0" style="2" hidden="1" customWidth="1"/>
    <col min="11276" max="11285" width="9.7109375" style="2" customWidth="1"/>
    <col min="11286" max="11286" width="9.5703125" style="2" customWidth="1"/>
    <col min="11287" max="11520" width="9.140625" style="2"/>
    <col min="11521" max="11521" width="2.85546875" style="2" customWidth="1"/>
    <col min="11522" max="11523" width="1.7109375" style="2" customWidth="1"/>
    <col min="11524" max="11524" width="12.85546875" style="2" customWidth="1"/>
    <col min="11525" max="11525" width="9.7109375" style="2" customWidth="1"/>
    <col min="11526" max="11531" width="0" style="2" hidden="1" customWidth="1"/>
    <col min="11532" max="11541" width="9.7109375" style="2" customWidth="1"/>
    <col min="11542" max="11542" width="9.5703125" style="2" customWidth="1"/>
    <col min="11543" max="11776" width="9.140625" style="2"/>
    <col min="11777" max="11777" width="2.85546875" style="2" customWidth="1"/>
    <col min="11778" max="11779" width="1.7109375" style="2" customWidth="1"/>
    <col min="11780" max="11780" width="12.85546875" style="2" customWidth="1"/>
    <col min="11781" max="11781" width="9.7109375" style="2" customWidth="1"/>
    <col min="11782" max="11787" width="0" style="2" hidden="1" customWidth="1"/>
    <col min="11788" max="11797" width="9.7109375" style="2" customWidth="1"/>
    <col min="11798" max="11798" width="9.5703125" style="2" customWidth="1"/>
    <col min="11799" max="12032" width="9.140625" style="2"/>
    <col min="12033" max="12033" width="2.85546875" style="2" customWidth="1"/>
    <col min="12034" max="12035" width="1.7109375" style="2" customWidth="1"/>
    <col min="12036" max="12036" width="12.85546875" style="2" customWidth="1"/>
    <col min="12037" max="12037" width="9.7109375" style="2" customWidth="1"/>
    <col min="12038" max="12043" width="0" style="2" hidden="1" customWidth="1"/>
    <col min="12044" max="12053" width="9.7109375" style="2" customWidth="1"/>
    <col min="12054" max="12054" width="9.5703125" style="2" customWidth="1"/>
    <col min="12055" max="12288" width="9.140625" style="2"/>
    <col min="12289" max="12289" width="2.85546875" style="2" customWidth="1"/>
    <col min="12290" max="12291" width="1.7109375" style="2" customWidth="1"/>
    <col min="12292" max="12292" width="12.85546875" style="2" customWidth="1"/>
    <col min="12293" max="12293" width="9.7109375" style="2" customWidth="1"/>
    <col min="12294" max="12299" width="0" style="2" hidden="1" customWidth="1"/>
    <col min="12300" max="12309" width="9.7109375" style="2" customWidth="1"/>
    <col min="12310" max="12310" width="9.5703125" style="2" customWidth="1"/>
    <col min="12311" max="12544" width="9.140625" style="2"/>
    <col min="12545" max="12545" width="2.85546875" style="2" customWidth="1"/>
    <col min="12546" max="12547" width="1.7109375" style="2" customWidth="1"/>
    <col min="12548" max="12548" width="12.85546875" style="2" customWidth="1"/>
    <col min="12549" max="12549" width="9.7109375" style="2" customWidth="1"/>
    <col min="12550" max="12555" width="0" style="2" hidden="1" customWidth="1"/>
    <col min="12556" max="12565" width="9.7109375" style="2" customWidth="1"/>
    <col min="12566" max="12566" width="9.5703125" style="2" customWidth="1"/>
    <col min="12567" max="12800" width="9.140625" style="2"/>
    <col min="12801" max="12801" width="2.85546875" style="2" customWidth="1"/>
    <col min="12802" max="12803" width="1.7109375" style="2" customWidth="1"/>
    <col min="12804" max="12804" width="12.85546875" style="2" customWidth="1"/>
    <col min="12805" max="12805" width="9.7109375" style="2" customWidth="1"/>
    <col min="12806" max="12811" width="0" style="2" hidden="1" customWidth="1"/>
    <col min="12812" max="12821" width="9.7109375" style="2" customWidth="1"/>
    <col min="12822" max="12822" width="9.5703125" style="2" customWidth="1"/>
    <col min="12823" max="13056" width="9.140625" style="2"/>
    <col min="13057" max="13057" width="2.85546875" style="2" customWidth="1"/>
    <col min="13058" max="13059" width="1.7109375" style="2" customWidth="1"/>
    <col min="13060" max="13060" width="12.85546875" style="2" customWidth="1"/>
    <col min="13061" max="13061" width="9.7109375" style="2" customWidth="1"/>
    <col min="13062" max="13067" width="0" style="2" hidden="1" customWidth="1"/>
    <col min="13068" max="13077" width="9.7109375" style="2" customWidth="1"/>
    <col min="13078" max="13078" width="9.5703125" style="2" customWidth="1"/>
    <col min="13079" max="13312" width="9.140625" style="2"/>
    <col min="13313" max="13313" width="2.85546875" style="2" customWidth="1"/>
    <col min="13314" max="13315" width="1.7109375" style="2" customWidth="1"/>
    <col min="13316" max="13316" width="12.85546875" style="2" customWidth="1"/>
    <col min="13317" max="13317" width="9.7109375" style="2" customWidth="1"/>
    <col min="13318" max="13323" width="0" style="2" hidden="1" customWidth="1"/>
    <col min="13324" max="13333" width="9.7109375" style="2" customWidth="1"/>
    <col min="13334" max="13334" width="9.5703125" style="2" customWidth="1"/>
    <col min="13335" max="13568" width="9.140625" style="2"/>
    <col min="13569" max="13569" width="2.85546875" style="2" customWidth="1"/>
    <col min="13570" max="13571" width="1.7109375" style="2" customWidth="1"/>
    <col min="13572" max="13572" width="12.85546875" style="2" customWidth="1"/>
    <col min="13573" max="13573" width="9.7109375" style="2" customWidth="1"/>
    <col min="13574" max="13579" width="0" style="2" hidden="1" customWidth="1"/>
    <col min="13580" max="13589" width="9.7109375" style="2" customWidth="1"/>
    <col min="13590" max="13590" width="9.5703125" style="2" customWidth="1"/>
    <col min="13591" max="13824" width="9.140625" style="2"/>
    <col min="13825" max="13825" width="2.85546875" style="2" customWidth="1"/>
    <col min="13826" max="13827" width="1.7109375" style="2" customWidth="1"/>
    <col min="13828" max="13828" width="12.85546875" style="2" customWidth="1"/>
    <col min="13829" max="13829" width="9.7109375" style="2" customWidth="1"/>
    <col min="13830" max="13835" width="0" style="2" hidden="1" customWidth="1"/>
    <col min="13836" max="13845" width="9.7109375" style="2" customWidth="1"/>
    <col min="13846" max="13846" width="9.5703125" style="2" customWidth="1"/>
    <col min="13847" max="14080" width="9.140625" style="2"/>
    <col min="14081" max="14081" width="2.85546875" style="2" customWidth="1"/>
    <col min="14082" max="14083" width="1.7109375" style="2" customWidth="1"/>
    <col min="14084" max="14084" width="12.85546875" style="2" customWidth="1"/>
    <col min="14085" max="14085" width="9.7109375" style="2" customWidth="1"/>
    <col min="14086" max="14091" width="0" style="2" hidden="1" customWidth="1"/>
    <col min="14092" max="14101" width="9.7109375" style="2" customWidth="1"/>
    <col min="14102" max="14102" width="9.5703125" style="2" customWidth="1"/>
    <col min="14103" max="14336" width="9.140625" style="2"/>
    <col min="14337" max="14337" width="2.85546875" style="2" customWidth="1"/>
    <col min="14338" max="14339" width="1.7109375" style="2" customWidth="1"/>
    <col min="14340" max="14340" width="12.85546875" style="2" customWidth="1"/>
    <col min="14341" max="14341" width="9.7109375" style="2" customWidth="1"/>
    <col min="14342" max="14347" width="0" style="2" hidden="1" customWidth="1"/>
    <col min="14348" max="14357" width="9.7109375" style="2" customWidth="1"/>
    <col min="14358" max="14358" width="9.5703125" style="2" customWidth="1"/>
    <col min="14359" max="14592" width="9.140625" style="2"/>
    <col min="14593" max="14593" width="2.85546875" style="2" customWidth="1"/>
    <col min="14594" max="14595" width="1.7109375" style="2" customWidth="1"/>
    <col min="14596" max="14596" width="12.85546875" style="2" customWidth="1"/>
    <col min="14597" max="14597" width="9.7109375" style="2" customWidth="1"/>
    <col min="14598" max="14603" width="0" style="2" hidden="1" customWidth="1"/>
    <col min="14604" max="14613" width="9.7109375" style="2" customWidth="1"/>
    <col min="14614" max="14614" width="9.5703125" style="2" customWidth="1"/>
    <col min="14615" max="14848" width="9.140625" style="2"/>
    <col min="14849" max="14849" width="2.85546875" style="2" customWidth="1"/>
    <col min="14850" max="14851" width="1.7109375" style="2" customWidth="1"/>
    <col min="14852" max="14852" width="12.85546875" style="2" customWidth="1"/>
    <col min="14853" max="14853" width="9.7109375" style="2" customWidth="1"/>
    <col min="14854" max="14859" width="0" style="2" hidden="1" customWidth="1"/>
    <col min="14860" max="14869" width="9.7109375" style="2" customWidth="1"/>
    <col min="14870" max="14870" width="9.5703125" style="2" customWidth="1"/>
    <col min="14871" max="15104" width="9.140625" style="2"/>
    <col min="15105" max="15105" width="2.85546875" style="2" customWidth="1"/>
    <col min="15106" max="15107" width="1.7109375" style="2" customWidth="1"/>
    <col min="15108" max="15108" width="12.85546875" style="2" customWidth="1"/>
    <col min="15109" max="15109" width="9.7109375" style="2" customWidth="1"/>
    <col min="15110" max="15115" width="0" style="2" hidden="1" customWidth="1"/>
    <col min="15116" max="15125" width="9.7109375" style="2" customWidth="1"/>
    <col min="15126" max="15126" width="9.5703125" style="2" customWidth="1"/>
    <col min="15127" max="15360" width="9.140625" style="2"/>
    <col min="15361" max="15361" width="2.85546875" style="2" customWidth="1"/>
    <col min="15362" max="15363" width="1.7109375" style="2" customWidth="1"/>
    <col min="15364" max="15364" width="12.85546875" style="2" customWidth="1"/>
    <col min="15365" max="15365" width="9.7109375" style="2" customWidth="1"/>
    <col min="15366" max="15371" width="0" style="2" hidden="1" customWidth="1"/>
    <col min="15372" max="15381" width="9.7109375" style="2" customWidth="1"/>
    <col min="15382" max="15382" width="9.5703125" style="2" customWidth="1"/>
    <col min="15383" max="15616" width="9.140625" style="2"/>
    <col min="15617" max="15617" width="2.85546875" style="2" customWidth="1"/>
    <col min="15618" max="15619" width="1.7109375" style="2" customWidth="1"/>
    <col min="15620" max="15620" width="12.85546875" style="2" customWidth="1"/>
    <col min="15621" max="15621" width="9.7109375" style="2" customWidth="1"/>
    <col min="15622" max="15627" width="0" style="2" hidden="1" customWidth="1"/>
    <col min="15628" max="15637" width="9.7109375" style="2" customWidth="1"/>
    <col min="15638" max="15638" width="9.5703125" style="2" customWidth="1"/>
    <col min="15639" max="15872" width="9.140625" style="2"/>
    <col min="15873" max="15873" width="2.85546875" style="2" customWidth="1"/>
    <col min="15874" max="15875" width="1.7109375" style="2" customWidth="1"/>
    <col min="15876" max="15876" width="12.85546875" style="2" customWidth="1"/>
    <col min="15877" max="15877" width="9.7109375" style="2" customWidth="1"/>
    <col min="15878" max="15883" width="0" style="2" hidden="1" customWidth="1"/>
    <col min="15884" max="15893" width="9.7109375" style="2" customWidth="1"/>
    <col min="15894" max="15894" width="9.5703125" style="2" customWidth="1"/>
    <col min="15895" max="16128" width="9.140625" style="2"/>
    <col min="16129" max="16129" width="2.85546875" style="2" customWidth="1"/>
    <col min="16130" max="16131" width="1.7109375" style="2" customWidth="1"/>
    <col min="16132" max="16132" width="12.85546875" style="2" customWidth="1"/>
    <col min="16133" max="16133" width="9.7109375" style="2" customWidth="1"/>
    <col min="16134" max="16139" width="0" style="2" hidden="1" customWidth="1"/>
    <col min="16140" max="16149" width="9.7109375" style="2" customWidth="1"/>
    <col min="16150" max="16150" width="9.5703125" style="2" customWidth="1"/>
    <col min="16151" max="16384" width="9.140625" style="2"/>
  </cols>
  <sheetData>
    <row r="1" spans="1:22">
      <c r="A1" s="1" t="s">
        <v>25</v>
      </c>
    </row>
    <row r="2" spans="1:22">
      <c r="A2" s="1" t="s">
        <v>109</v>
      </c>
      <c r="E2" s="1" t="s">
        <v>35</v>
      </c>
    </row>
    <row r="3" spans="1:22">
      <c r="A3" s="2" t="s">
        <v>0</v>
      </c>
    </row>
    <row r="4" spans="1:22" ht="12" customHeight="1"/>
    <row r="5" spans="1:22" ht="18" customHeight="1">
      <c r="A5" s="177" t="s">
        <v>1</v>
      </c>
      <c r="B5" s="178"/>
      <c r="C5" s="178"/>
      <c r="D5" s="178"/>
      <c r="E5" s="18" t="s">
        <v>110</v>
      </c>
      <c r="F5" s="77" t="s">
        <v>28</v>
      </c>
      <c r="G5" s="77" t="s">
        <v>29</v>
      </c>
      <c r="H5" s="77" t="s">
        <v>39</v>
      </c>
      <c r="I5" s="77" t="s">
        <v>31</v>
      </c>
      <c r="J5" s="77" t="s">
        <v>32</v>
      </c>
      <c r="K5" s="77" t="s">
        <v>33</v>
      </c>
      <c r="L5" s="77" t="s">
        <v>23</v>
      </c>
      <c r="M5" s="77" t="s">
        <v>24</v>
      </c>
      <c r="N5" s="77" t="s">
        <v>26</v>
      </c>
      <c r="O5" s="77" t="s">
        <v>27</v>
      </c>
      <c r="P5" s="77" t="s">
        <v>36</v>
      </c>
      <c r="Q5" s="77" t="s">
        <v>28</v>
      </c>
      <c r="R5" s="77" t="s">
        <v>29</v>
      </c>
      <c r="S5" s="77" t="s">
        <v>39</v>
      </c>
      <c r="T5" s="77" t="s">
        <v>31</v>
      </c>
      <c r="U5" s="77" t="s">
        <v>32</v>
      </c>
      <c r="V5" s="78" t="s">
        <v>33</v>
      </c>
    </row>
    <row r="6" spans="1:22" ht="9" customHeight="1"/>
    <row r="7" spans="1:22">
      <c r="A7" s="1" t="s">
        <v>17</v>
      </c>
      <c r="E7" s="41">
        <v>1165009</v>
      </c>
      <c r="F7" s="41" t="e">
        <v>#REF!</v>
      </c>
      <c r="G7" s="41" t="e">
        <v>#REF!</v>
      </c>
      <c r="H7" s="41" t="e">
        <v>#REF!</v>
      </c>
      <c r="I7" s="41" t="e">
        <v>#REF!</v>
      </c>
      <c r="J7" s="41" t="e">
        <v>#REF!</v>
      </c>
      <c r="K7" s="41" t="e">
        <v>#REF!</v>
      </c>
      <c r="L7" s="41">
        <v>1134350</v>
      </c>
      <c r="M7" s="41">
        <v>1154174</v>
      </c>
      <c r="N7" s="41">
        <v>1164259</v>
      </c>
      <c r="O7" s="41">
        <v>1146372</v>
      </c>
      <c r="P7" s="41">
        <v>1165987</v>
      </c>
      <c r="Q7" s="41">
        <v>1151911</v>
      </c>
      <c r="R7" s="41">
        <v>1163949</v>
      </c>
      <c r="S7" s="41">
        <v>1153814</v>
      </c>
      <c r="T7" s="41">
        <v>1120213</v>
      </c>
      <c r="U7" s="41">
        <v>1072581</v>
      </c>
      <c r="V7" s="41">
        <v>1081155</v>
      </c>
    </row>
    <row r="9" spans="1:22">
      <c r="A9" s="1" t="s">
        <v>59</v>
      </c>
      <c r="E9" s="82">
        <v>678103</v>
      </c>
      <c r="F9" s="82" t="e">
        <v>#REF!</v>
      </c>
      <c r="G9" s="82" t="e">
        <v>#REF!</v>
      </c>
      <c r="H9" s="82" t="e">
        <v>#REF!</v>
      </c>
      <c r="I9" s="82" t="e">
        <v>#REF!</v>
      </c>
      <c r="J9" s="82" t="e">
        <v>#REF!</v>
      </c>
      <c r="K9" s="82" t="e">
        <v>#REF!</v>
      </c>
      <c r="L9" s="82">
        <v>678103</v>
      </c>
      <c r="M9" s="82">
        <v>691094</v>
      </c>
      <c r="N9" s="82">
        <v>703795</v>
      </c>
      <c r="O9" s="82">
        <v>698494</v>
      </c>
      <c r="P9" s="82">
        <v>707702</v>
      </c>
      <c r="Q9" s="82">
        <v>706218</v>
      </c>
      <c r="R9" s="82">
        <v>711757</v>
      </c>
      <c r="S9" s="82">
        <v>707343</v>
      </c>
      <c r="T9" s="82">
        <v>688766</v>
      </c>
      <c r="U9" s="82">
        <v>664277</v>
      </c>
      <c r="V9" s="82">
        <v>664978</v>
      </c>
    </row>
    <row r="10" spans="1:22" ht="9" customHeight="1">
      <c r="E10" s="93"/>
      <c r="L10" s="93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>
      <c r="B11" s="2" t="s">
        <v>87</v>
      </c>
      <c r="E11" s="94">
        <v>640274</v>
      </c>
      <c r="L11" s="94">
        <v>640274</v>
      </c>
      <c r="M11" s="14">
        <v>652948</v>
      </c>
      <c r="N11" s="14">
        <v>665649</v>
      </c>
      <c r="O11" s="14">
        <v>660348</v>
      </c>
      <c r="P11" s="14">
        <v>669572</v>
      </c>
      <c r="Q11" s="14">
        <v>668105</v>
      </c>
      <c r="R11" s="14">
        <v>673638</v>
      </c>
      <c r="S11" s="14">
        <v>669235</v>
      </c>
      <c r="T11" s="14">
        <v>650684</v>
      </c>
      <c r="U11" s="14">
        <v>626221</v>
      </c>
      <c r="V11" s="94">
        <v>621804</v>
      </c>
    </row>
    <row r="12" spans="1:22">
      <c r="A12" s="1"/>
      <c r="C12" s="2" t="s">
        <v>111</v>
      </c>
      <c r="E12" s="93">
        <v>640261</v>
      </c>
      <c r="F12" s="13"/>
      <c r="G12" s="13"/>
      <c r="H12" s="13"/>
      <c r="I12" s="13"/>
      <c r="J12" s="13"/>
      <c r="K12" s="13"/>
      <c r="L12" s="93">
        <v>640261</v>
      </c>
      <c r="M12" s="15">
        <v>652935</v>
      </c>
      <c r="N12" s="15">
        <v>665636</v>
      </c>
      <c r="O12" s="15">
        <v>660335</v>
      </c>
      <c r="P12" s="15">
        <v>669559</v>
      </c>
      <c r="Q12" s="15">
        <v>668092</v>
      </c>
      <c r="R12" s="15">
        <v>673625</v>
      </c>
      <c r="S12" s="15">
        <v>669222</v>
      </c>
      <c r="T12" s="15">
        <v>650671</v>
      </c>
      <c r="U12" s="15">
        <v>626208</v>
      </c>
      <c r="V12" s="93">
        <v>621791</v>
      </c>
    </row>
    <row r="13" spans="1:22">
      <c r="C13" s="2" t="s">
        <v>112</v>
      </c>
      <c r="E13" s="93">
        <v>13</v>
      </c>
      <c r="F13" s="14"/>
      <c r="G13" s="14"/>
      <c r="H13" s="14"/>
      <c r="I13" s="14"/>
      <c r="J13" s="14"/>
      <c r="K13" s="14"/>
      <c r="L13" s="93">
        <v>13</v>
      </c>
      <c r="M13" s="15">
        <v>13</v>
      </c>
      <c r="N13" s="15">
        <v>13</v>
      </c>
      <c r="O13" s="15">
        <v>13</v>
      </c>
      <c r="P13" s="15">
        <v>13</v>
      </c>
      <c r="Q13" s="15">
        <v>13</v>
      </c>
      <c r="R13" s="15">
        <v>13</v>
      </c>
      <c r="S13" s="15">
        <v>13</v>
      </c>
      <c r="T13" s="15">
        <v>13</v>
      </c>
      <c r="U13" s="15">
        <v>13</v>
      </c>
      <c r="V13" s="15">
        <v>13</v>
      </c>
    </row>
    <row r="14" spans="1:22" ht="9" customHeight="1">
      <c r="E14" s="93"/>
      <c r="F14" s="14"/>
      <c r="G14" s="14"/>
      <c r="H14" s="14"/>
      <c r="I14" s="14"/>
      <c r="J14" s="14"/>
      <c r="K14" s="14"/>
      <c r="L14" s="9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>
      <c r="B15" s="2" t="s">
        <v>113</v>
      </c>
      <c r="E15" s="93">
        <v>37829</v>
      </c>
      <c r="L15" s="93">
        <v>37829</v>
      </c>
      <c r="M15" s="15">
        <v>38146</v>
      </c>
      <c r="N15" s="15">
        <v>38146</v>
      </c>
      <c r="O15" s="15">
        <v>38146</v>
      </c>
      <c r="P15" s="15">
        <v>38130</v>
      </c>
      <c r="Q15" s="15">
        <v>38113</v>
      </c>
      <c r="R15" s="15">
        <v>38119</v>
      </c>
      <c r="S15" s="15">
        <v>38108</v>
      </c>
      <c r="T15" s="15">
        <v>38082</v>
      </c>
      <c r="U15" s="15">
        <v>38056</v>
      </c>
      <c r="V15" s="15">
        <v>43174</v>
      </c>
    </row>
    <row r="16" spans="1:22" ht="9" customHeight="1">
      <c r="E16" s="93"/>
      <c r="L16" s="9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>
      <c r="A17" s="1" t="s">
        <v>125</v>
      </c>
      <c r="B17" s="1"/>
      <c r="C17" s="1"/>
      <c r="D17" s="1"/>
      <c r="E17" s="13">
        <v>486906</v>
      </c>
      <c r="F17" s="13" t="e">
        <v>#REF!</v>
      </c>
      <c r="G17" s="13" t="e">
        <v>#REF!</v>
      </c>
      <c r="H17" s="13" t="e">
        <v>#REF!</v>
      </c>
      <c r="I17" s="13" t="e">
        <v>#REF!</v>
      </c>
      <c r="J17" s="13" t="e">
        <v>#REF!</v>
      </c>
      <c r="K17" s="13" t="e">
        <v>#REF!</v>
      </c>
      <c r="L17" s="13">
        <v>456247</v>
      </c>
      <c r="M17" s="13">
        <v>463080</v>
      </c>
      <c r="N17" s="13">
        <v>460464</v>
      </c>
      <c r="O17" s="13">
        <v>447878</v>
      </c>
      <c r="P17" s="13">
        <v>458285</v>
      </c>
      <c r="Q17" s="13">
        <v>445693</v>
      </c>
      <c r="R17" s="13">
        <v>452192</v>
      </c>
      <c r="S17" s="13">
        <v>446471</v>
      </c>
      <c r="T17" s="13">
        <v>431447</v>
      </c>
      <c r="U17" s="13">
        <v>408304</v>
      </c>
      <c r="V17" s="13">
        <v>416177</v>
      </c>
    </row>
    <row r="18" spans="1:22" ht="9" customHeight="1">
      <c r="A18" s="1"/>
      <c r="B18" s="1"/>
      <c r="C18" s="1"/>
      <c r="D18" s="1"/>
      <c r="E18" s="16"/>
      <c r="F18" s="13"/>
      <c r="G18" s="13"/>
      <c r="H18" s="13"/>
      <c r="I18" s="13"/>
      <c r="J18" s="13"/>
      <c r="K18" s="13"/>
      <c r="L18" s="82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>
      <c r="B19" s="2" t="s">
        <v>87</v>
      </c>
      <c r="E19" s="94">
        <v>364297</v>
      </c>
      <c r="F19" s="14" t="e">
        <v>#REF!</v>
      </c>
      <c r="G19" s="14" t="e">
        <v>#REF!</v>
      </c>
      <c r="H19" s="14" t="e">
        <v>#REF!</v>
      </c>
      <c r="I19" s="14" t="e">
        <v>#REF!</v>
      </c>
      <c r="J19" s="14" t="e">
        <v>#REF!</v>
      </c>
      <c r="K19" s="14" t="e">
        <v>#REF!</v>
      </c>
      <c r="L19" s="14">
        <v>340784</v>
      </c>
      <c r="M19" s="14">
        <v>348584</v>
      </c>
      <c r="N19" s="14">
        <v>347966</v>
      </c>
      <c r="O19" s="14">
        <v>337394</v>
      </c>
      <c r="P19" s="14">
        <v>349282</v>
      </c>
      <c r="Q19" s="14">
        <v>339494</v>
      </c>
      <c r="R19" s="14">
        <v>344889</v>
      </c>
      <c r="S19" s="14">
        <v>341360</v>
      </c>
      <c r="T19" s="14">
        <v>331215</v>
      </c>
      <c r="U19" s="14">
        <v>312657</v>
      </c>
      <c r="V19" s="14">
        <v>318540</v>
      </c>
    </row>
    <row r="20" spans="1:22">
      <c r="C20" s="2" t="s">
        <v>111</v>
      </c>
      <c r="E20" s="93">
        <v>286001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5">
        <v>290541</v>
      </c>
      <c r="M20" s="15">
        <v>293831</v>
      </c>
      <c r="N20" s="15">
        <v>293695</v>
      </c>
      <c r="O20" s="15">
        <v>284061</v>
      </c>
      <c r="P20" s="15">
        <v>293446</v>
      </c>
      <c r="Q20" s="15">
        <v>284825</v>
      </c>
      <c r="R20" s="15">
        <v>288594</v>
      </c>
      <c r="S20" s="15">
        <v>285556</v>
      </c>
      <c r="T20" s="15">
        <v>276337</v>
      </c>
      <c r="U20" s="15">
        <v>260540</v>
      </c>
      <c r="V20" s="15">
        <v>265467</v>
      </c>
    </row>
    <row r="21" spans="1:22">
      <c r="C21" s="2" t="s">
        <v>112</v>
      </c>
      <c r="E21" s="93">
        <v>78296</v>
      </c>
      <c r="L21" s="93">
        <v>50243</v>
      </c>
      <c r="M21" s="15">
        <v>54753</v>
      </c>
      <c r="N21" s="15">
        <v>54271</v>
      </c>
      <c r="O21" s="15">
        <v>53333</v>
      </c>
      <c r="P21" s="15">
        <v>55836</v>
      </c>
      <c r="Q21" s="15">
        <v>54669</v>
      </c>
      <c r="R21" s="15">
        <v>56295</v>
      </c>
      <c r="S21" s="15">
        <v>55804</v>
      </c>
      <c r="T21" s="15">
        <v>54878</v>
      </c>
      <c r="U21" s="15">
        <v>52117</v>
      </c>
      <c r="V21" s="15">
        <v>53073</v>
      </c>
    </row>
    <row r="22" spans="1:22" ht="9" customHeight="1">
      <c r="D22" s="2" t="s">
        <v>35</v>
      </c>
      <c r="E22" s="93"/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9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>
      <c r="B23" s="2" t="s">
        <v>113</v>
      </c>
      <c r="E23" s="93">
        <v>31134</v>
      </c>
      <c r="L23" s="93">
        <v>31340</v>
      </c>
      <c r="M23" s="15">
        <v>30832</v>
      </c>
      <c r="N23" s="15">
        <v>29708</v>
      </c>
      <c r="O23" s="15">
        <v>28917</v>
      </c>
      <c r="P23" s="15">
        <v>27327</v>
      </c>
      <c r="Q23" s="15">
        <v>26590</v>
      </c>
      <c r="R23" s="15">
        <v>26920</v>
      </c>
      <c r="S23" s="15">
        <v>26197</v>
      </c>
      <c r="T23" s="15">
        <v>24583</v>
      </c>
      <c r="U23" s="15">
        <v>23181</v>
      </c>
      <c r="V23" s="15">
        <v>23535</v>
      </c>
    </row>
    <row r="24" spans="1:22" ht="9" customHeight="1">
      <c r="E24" s="93" t="s">
        <v>35</v>
      </c>
      <c r="L24" s="93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>
      <c r="B25" s="2" t="s">
        <v>102</v>
      </c>
      <c r="E25" s="93">
        <v>91475</v>
      </c>
      <c r="L25" s="93">
        <v>84123</v>
      </c>
      <c r="M25" s="15">
        <v>83664</v>
      </c>
      <c r="N25" s="15">
        <v>82790</v>
      </c>
      <c r="O25" s="15">
        <v>81567</v>
      </c>
      <c r="P25" s="15">
        <v>81676</v>
      </c>
      <c r="Q25" s="15">
        <v>79609</v>
      </c>
      <c r="R25" s="15">
        <v>80383</v>
      </c>
      <c r="S25" s="15">
        <v>78914</v>
      </c>
      <c r="T25" s="15">
        <v>75649</v>
      </c>
      <c r="U25" s="15">
        <v>72466</v>
      </c>
      <c r="V25" s="15">
        <v>74102</v>
      </c>
    </row>
    <row r="26" spans="1:22" hidden="1">
      <c r="C26" s="2" t="s">
        <v>9</v>
      </c>
      <c r="E26" s="93">
        <v>4146</v>
      </c>
      <c r="L26" s="93">
        <v>4152</v>
      </c>
      <c r="M26" s="15">
        <v>4131</v>
      </c>
      <c r="N26" s="15">
        <v>4088</v>
      </c>
      <c r="O26" s="15">
        <v>4028</v>
      </c>
      <c r="P26" s="15">
        <v>4033</v>
      </c>
      <c r="Q26" s="15">
        <v>3931</v>
      </c>
      <c r="R26" s="15">
        <v>3969</v>
      </c>
      <c r="S26" s="15">
        <v>3897</v>
      </c>
      <c r="T26" s="15">
        <v>3736</v>
      </c>
      <c r="U26" s="15">
        <v>3579</v>
      </c>
      <c r="V26" s="15">
        <v>3660</v>
      </c>
    </row>
    <row r="27" spans="1:22" hidden="1">
      <c r="C27" s="2" t="s">
        <v>114</v>
      </c>
      <c r="E27" s="93">
        <v>31815</v>
      </c>
      <c r="F27" s="14"/>
      <c r="G27" s="14"/>
      <c r="H27" s="14"/>
      <c r="I27" s="14"/>
      <c r="J27" s="14"/>
      <c r="K27" s="14"/>
      <c r="L27" s="93">
        <v>31843</v>
      </c>
      <c r="M27" s="15">
        <v>31687</v>
      </c>
      <c r="N27" s="15">
        <v>31356</v>
      </c>
      <c r="O27" s="15">
        <v>30892</v>
      </c>
      <c r="P27" s="15">
        <v>30934</v>
      </c>
      <c r="Q27" s="15">
        <v>30151</v>
      </c>
      <c r="R27" s="15">
        <v>30444</v>
      </c>
      <c r="S27" s="15">
        <v>29888</v>
      </c>
      <c r="T27" s="15">
        <v>28655</v>
      </c>
      <c r="U27" s="15">
        <v>27450</v>
      </c>
      <c r="V27" s="15">
        <v>4399</v>
      </c>
    </row>
    <row r="28" spans="1:22" hidden="1">
      <c r="C28" s="2" t="s">
        <v>115</v>
      </c>
      <c r="E28" s="93">
        <v>4986</v>
      </c>
      <c r="L28" s="93">
        <v>4991</v>
      </c>
      <c r="M28" s="15">
        <v>4966</v>
      </c>
      <c r="N28" s="15">
        <v>4914</v>
      </c>
      <c r="O28" s="15">
        <v>4842</v>
      </c>
      <c r="P28" s="15">
        <v>4848</v>
      </c>
      <c r="Q28" s="15">
        <v>4725</v>
      </c>
      <c r="R28" s="15">
        <v>4771</v>
      </c>
      <c r="S28" s="15">
        <v>4684</v>
      </c>
      <c r="T28" s="15">
        <v>4491</v>
      </c>
      <c r="U28" s="15">
        <v>4302</v>
      </c>
      <c r="V28" s="15">
        <v>28069</v>
      </c>
    </row>
    <row r="29" spans="1:22" hidden="1">
      <c r="C29" s="2" t="s">
        <v>116</v>
      </c>
      <c r="E29" s="93">
        <v>50528</v>
      </c>
      <c r="L29" s="93">
        <v>43137</v>
      </c>
      <c r="M29" s="15">
        <v>42880</v>
      </c>
      <c r="N29" s="15">
        <v>42432</v>
      </c>
      <c r="O29" s="15">
        <v>41805</v>
      </c>
      <c r="P29" s="15">
        <v>41861</v>
      </c>
      <c r="Q29" s="15">
        <v>40802</v>
      </c>
      <c r="R29" s="15">
        <v>41198</v>
      </c>
      <c r="S29" s="15">
        <v>40445</v>
      </c>
      <c r="T29" s="15">
        <v>38767</v>
      </c>
      <c r="U29" s="15">
        <v>37135</v>
      </c>
      <c r="V29" s="15">
        <v>37974</v>
      </c>
    </row>
    <row r="30" spans="1:22" ht="9" customHeight="1">
      <c r="E30" s="93"/>
      <c r="L30" s="93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ht="9" customHeight="1">
      <c r="B31" s="2" t="s">
        <v>35</v>
      </c>
      <c r="C31" s="2" t="s">
        <v>43</v>
      </c>
      <c r="E31" s="93"/>
      <c r="L31" s="93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3" spans="1:22">
      <c r="A33" s="9"/>
      <c r="B33" s="9"/>
      <c r="C33" s="9"/>
      <c r="D33" s="9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>
      <c r="A34" s="11" t="s">
        <v>117</v>
      </c>
      <c r="B34" s="11"/>
      <c r="C34" s="11"/>
      <c r="D34" s="11"/>
      <c r="E34" s="11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>
      <c r="A35" s="11" t="s">
        <v>118</v>
      </c>
      <c r="B35" s="11"/>
      <c r="C35" s="11"/>
      <c r="D35" s="11"/>
      <c r="E35" s="11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>
      <c r="A36" s="48" t="s">
        <v>119</v>
      </c>
      <c r="B36" s="11"/>
      <c r="C36" s="11"/>
      <c r="D36" s="11"/>
      <c r="E36" s="11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5" spans="1:22"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</row>
    <row r="46" spans="1:22"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2:22"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">
    <mergeCell ref="A5:D5"/>
  </mergeCells>
  <pageMargins left="0.23622047244094491" right="0" top="0.74803149606299213" bottom="0" header="0" footer="0"/>
  <pageSetup paperSize="9" scale="71" orientation="portrait" blackAndWhite="1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3831-0312-4C1B-8C83-E0FF2D3B710D}">
  <sheetPr codeName="Sheet60">
    <pageSetUpPr fitToPage="1"/>
  </sheetPr>
  <dimension ref="A1:R43"/>
  <sheetViews>
    <sheetView workbookViewId="0">
      <selection activeCell="K30" sqref="K30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>
      <c r="A1" s="1" t="s">
        <v>133</v>
      </c>
    </row>
    <row r="2" spans="1:18">
      <c r="A2" s="1" t="s">
        <v>109</v>
      </c>
      <c r="F2" s="1" t="s">
        <v>35</v>
      </c>
    </row>
    <row r="3" spans="1:18">
      <c r="A3" s="2" t="s">
        <v>0</v>
      </c>
    </row>
    <row r="4" spans="1:18">
      <c r="G4" s="9"/>
      <c r="I4" s="9"/>
      <c r="L4" s="9"/>
      <c r="M4" s="9"/>
      <c r="N4" s="9"/>
      <c r="O4" s="9"/>
      <c r="P4" s="9"/>
      <c r="Q4" s="9"/>
    </row>
    <row r="5" spans="1:18" s="128" customFormat="1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6" t="s">
        <v>28</v>
      </c>
      <c r="N5" s="76" t="s">
        <v>29</v>
      </c>
      <c r="O5" s="76" t="s">
        <v>39</v>
      </c>
      <c r="P5" s="76" t="s">
        <v>31</v>
      </c>
      <c r="Q5" s="76" t="s">
        <v>32</v>
      </c>
      <c r="R5" s="78" t="s">
        <v>33</v>
      </c>
    </row>
    <row r="6" spans="1:18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+G9+G14</f>
        <v>150903</v>
      </c>
      <c r="H7" s="126">
        <f t="shared" si="0"/>
        <v>155527</v>
      </c>
      <c r="I7" s="126">
        <f t="shared" si="0"/>
        <v>156937</v>
      </c>
      <c r="J7" s="126">
        <f t="shared" si="0"/>
        <v>159921</v>
      </c>
      <c r="K7" s="126">
        <f t="shared" si="0"/>
        <v>160417</v>
      </c>
      <c r="L7" s="126">
        <f t="shared" si="0"/>
        <v>159435</v>
      </c>
      <c r="M7" s="126">
        <f t="shared" si="0"/>
        <v>158119</v>
      </c>
      <c r="N7" s="126">
        <f t="shared" si="0"/>
        <v>159285</v>
      </c>
      <c r="O7" s="126">
        <f t="shared" si="0"/>
        <v>157326</v>
      </c>
      <c r="P7" s="126">
        <f t="shared" si="0"/>
        <v>151235</v>
      </c>
      <c r="Q7" s="126">
        <f t="shared" si="0"/>
        <v>144376</v>
      </c>
      <c r="R7" s="126">
        <f t="shared" si="0"/>
        <v>146317</v>
      </c>
    </row>
    <row r="8" spans="1:18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 t="shared" ref="G9:R9" si="1">+G11+G12</f>
        <v>5210</v>
      </c>
      <c r="H9" s="13">
        <f t="shared" si="1"/>
        <v>5210</v>
      </c>
      <c r="I9" s="13">
        <f t="shared" si="1"/>
        <v>5195</v>
      </c>
      <c r="J9" s="13">
        <f t="shared" si="1"/>
        <v>5196</v>
      </c>
      <c r="K9" s="13">
        <f t="shared" si="1"/>
        <v>5240</v>
      </c>
      <c r="L9" s="13">
        <f t="shared" si="1"/>
        <v>5435</v>
      </c>
      <c r="M9" s="13">
        <f t="shared" si="1"/>
        <v>5423</v>
      </c>
      <c r="N9" s="13">
        <f t="shared" si="1"/>
        <v>5409</v>
      </c>
      <c r="O9" s="13">
        <f t="shared" si="1"/>
        <v>5400</v>
      </c>
      <c r="P9" s="13">
        <f t="shared" si="1"/>
        <v>5391</v>
      </c>
      <c r="Q9" s="13">
        <f t="shared" si="1"/>
        <v>5391</v>
      </c>
      <c r="R9" s="13">
        <f t="shared" si="1"/>
        <v>5585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4809</v>
      </c>
      <c r="H11" s="15">
        <v>4809</v>
      </c>
      <c r="I11" s="15">
        <v>4807</v>
      </c>
      <c r="J11" s="15">
        <v>4808</v>
      </c>
      <c r="K11" s="15">
        <v>4852</v>
      </c>
      <c r="L11" s="15">
        <v>5047</v>
      </c>
      <c r="M11" s="15">
        <v>5047</v>
      </c>
      <c r="N11" s="15">
        <v>5033</v>
      </c>
      <c r="O11" s="15">
        <v>5024</v>
      </c>
      <c r="P11" s="15">
        <v>5015</v>
      </c>
      <c r="Q11" s="15">
        <v>5015</v>
      </c>
      <c r="R11" s="15">
        <v>5222</v>
      </c>
    </row>
    <row r="12" spans="1:18">
      <c r="B12" s="2" t="s">
        <v>135</v>
      </c>
      <c r="G12" s="15">
        <v>401</v>
      </c>
      <c r="H12" s="15">
        <v>401</v>
      </c>
      <c r="I12" s="15">
        <v>388</v>
      </c>
      <c r="J12" s="15">
        <v>388</v>
      </c>
      <c r="K12" s="15">
        <v>388</v>
      </c>
      <c r="L12" s="15">
        <v>388</v>
      </c>
      <c r="M12" s="15">
        <v>376</v>
      </c>
      <c r="N12" s="15">
        <v>376</v>
      </c>
      <c r="O12" s="15">
        <v>376</v>
      </c>
      <c r="P12" s="15">
        <v>376</v>
      </c>
      <c r="Q12" s="15">
        <v>376</v>
      </c>
      <c r="R12" s="15">
        <v>363</v>
      </c>
    </row>
    <row r="13" spans="1:18"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>
      <c r="A14" s="1" t="s">
        <v>136</v>
      </c>
      <c r="B14" s="1"/>
      <c r="C14" s="1"/>
      <c r="D14" s="1"/>
      <c r="E14" s="1"/>
      <c r="F14" s="1"/>
      <c r="G14" s="13">
        <f t="shared" ref="G14:R14" si="2">+G16+G17</f>
        <v>145693</v>
      </c>
      <c r="H14" s="13">
        <f t="shared" si="2"/>
        <v>150317</v>
      </c>
      <c r="I14" s="13">
        <f t="shared" si="2"/>
        <v>151742</v>
      </c>
      <c r="J14" s="13">
        <f t="shared" si="2"/>
        <v>154725</v>
      </c>
      <c r="K14" s="13">
        <f t="shared" si="2"/>
        <v>155177</v>
      </c>
      <c r="L14" s="13">
        <f t="shared" si="2"/>
        <v>154000</v>
      </c>
      <c r="M14" s="13">
        <f t="shared" si="2"/>
        <v>152696</v>
      </c>
      <c r="N14" s="13">
        <f t="shared" si="2"/>
        <v>153876</v>
      </c>
      <c r="O14" s="13">
        <f t="shared" si="2"/>
        <v>151926</v>
      </c>
      <c r="P14" s="13">
        <f t="shared" si="2"/>
        <v>145844</v>
      </c>
      <c r="Q14" s="13">
        <f t="shared" si="2"/>
        <v>138985</v>
      </c>
      <c r="R14" s="13">
        <f t="shared" si="2"/>
        <v>140732</v>
      </c>
    </row>
    <row r="15" spans="1:18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B16" s="2" t="s">
        <v>134</v>
      </c>
      <c r="G16" s="15">
        <v>108434</v>
      </c>
      <c r="H16" s="15">
        <v>111876</v>
      </c>
      <c r="I16" s="15">
        <v>112067</v>
      </c>
      <c r="J16" s="15">
        <v>115677</v>
      </c>
      <c r="K16" s="15">
        <v>118184</v>
      </c>
      <c r="L16" s="15">
        <v>115535</v>
      </c>
      <c r="M16" s="15">
        <v>115596</v>
      </c>
      <c r="N16" s="15">
        <v>117033</v>
      </c>
      <c r="O16" s="15">
        <v>115282</v>
      </c>
      <c r="P16" s="15">
        <v>111507</v>
      </c>
      <c r="Q16" s="15">
        <v>107592</v>
      </c>
      <c r="R16" s="15">
        <v>108417</v>
      </c>
    </row>
    <row r="17" spans="1:18">
      <c r="B17" s="2" t="s">
        <v>135</v>
      </c>
      <c r="G17" s="15">
        <v>37259</v>
      </c>
      <c r="H17" s="15">
        <v>38441</v>
      </c>
      <c r="I17" s="15">
        <v>39675</v>
      </c>
      <c r="J17" s="15">
        <v>39048</v>
      </c>
      <c r="K17" s="15">
        <v>36993</v>
      </c>
      <c r="L17" s="15">
        <v>38465</v>
      </c>
      <c r="M17" s="15">
        <v>37100</v>
      </c>
      <c r="N17" s="15">
        <v>36843</v>
      </c>
      <c r="O17" s="15">
        <v>36644</v>
      </c>
      <c r="P17" s="15">
        <v>34337</v>
      </c>
      <c r="Q17" s="15">
        <v>31393</v>
      </c>
      <c r="R17" s="15">
        <v>32315</v>
      </c>
    </row>
    <row r="18" spans="1:18">
      <c r="G18" s="15"/>
    </row>
    <row r="19" spans="1:18">
      <c r="A19" s="9"/>
      <c r="B19" s="9"/>
      <c r="C19" s="9"/>
      <c r="D19" s="9"/>
      <c r="E19" s="9"/>
      <c r="F19" s="9"/>
    </row>
    <row r="20" spans="1:18">
      <c r="A20" s="2" t="s">
        <v>80</v>
      </c>
    </row>
    <row r="21" spans="1:18">
      <c r="A21" s="1"/>
    </row>
    <row r="22" spans="1:18">
      <c r="A22" s="1"/>
    </row>
    <row r="23" spans="1:18">
      <c r="A23" s="1"/>
    </row>
    <row r="24" spans="1:18">
      <c r="A24" s="1"/>
    </row>
    <row r="25" spans="1:18">
      <c r="A25" s="1"/>
    </row>
    <row r="26" spans="1:18">
      <c r="A26" s="11" t="s">
        <v>22</v>
      </c>
    </row>
    <row r="27" spans="1:18">
      <c r="A27" s="11" t="s">
        <v>68</v>
      </c>
    </row>
    <row r="28" spans="1:18">
      <c r="A28" s="11" t="s">
        <v>139</v>
      </c>
      <c r="F28" s="11"/>
    </row>
    <row r="29" spans="1:18">
      <c r="A29" s="83" t="s">
        <v>35</v>
      </c>
    </row>
    <row r="30" spans="1:18">
      <c r="F30" s="11"/>
    </row>
    <row r="31" spans="1:18">
      <c r="A31" s="11" t="s">
        <v>35</v>
      </c>
      <c r="F31" s="11"/>
    </row>
    <row r="32" spans="1:18">
      <c r="F32" s="11"/>
    </row>
    <row r="39" spans="7:7">
      <c r="G39" s="79"/>
    </row>
    <row r="40" spans="7:7">
      <c r="G40" s="11"/>
    </row>
    <row r="41" spans="7:7">
      <c r="G41" s="11"/>
    </row>
    <row r="42" spans="7:7">
      <c r="G42" s="11"/>
    </row>
    <row r="43" spans="7:7">
      <c r="G43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31">
    <pageSetUpPr fitToPage="1"/>
  </sheetPr>
  <dimension ref="A1:AO59"/>
  <sheetViews>
    <sheetView topLeftCell="A7" workbookViewId="0">
      <selection activeCell="O38" sqref="O38"/>
    </sheetView>
  </sheetViews>
  <sheetFormatPr defaultRowHeight="16.5"/>
  <cols>
    <col min="1" max="1" width="2.7109375" style="2" customWidth="1"/>
    <col min="2" max="4" width="1.7109375" style="2" customWidth="1"/>
    <col min="5" max="5" width="15" style="2" customWidth="1"/>
    <col min="6" max="6" width="9.7109375" style="2" customWidth="1"/>
    <col min="7" max="7" width="10.85546875" style="15" hidden="1" customWidth="1"/>
    <col min="8" max="8" width="4.140625" style="15" hidden="1" customWidth="1"/>
    <col min="9" max="9" width="2.5703125" style="15" hidden="1" customWidth="1"/>
    <col min="10" max="10" width="4.140625" style="15" hidden="1" customWidth="1"/>
    <col min="11" max="11" width="4.85546875" style="15" hidden="1" customWidth="1"/>
    <col min="12" max="12" width="6" style="15" hidden="1" customWidth="1"/>
    <col min="13" max="13" width="9.7109375" style="2" customWidth="1"/>
    <col min="14" max="14" width="10.140625" style="2" bestFit="1" customWidth="1"/>
    <col min="15" max="22" width="9.7109375" style="2" customWidth="1"/>
    <col min="23" max="23" width="10.140625" style="2" bestFit="1" customWidth="1"/>
    <col min="24" max="38" width="9" style="2" customWidth="1"/>
    <col min="39" max="256" width="9.140625" style="2"/>
    <col min="257" max="257" width="2.7109375" style="2" customWidth="1"/>
    <col min="258" max="260" width="1.7109375" style="2" customWidth="1"/>
    <col min="261" max="261" width="12.85546875" style="2" customWidth="1"/>
    <col min="262" max="262" width="9.7109375" style="2" customWidth="1"/>
    <col min="263" max="268" width="0" style="2" hidden="1" customWidth="1"/>
    <col min="269" max="279" width="9.7109375" style="2" customWidth="1"/>
    <col min="280" max="294" width="9" style="2" customWidth="1"/>
    <col min="295" max="512" width="9.140625" style="2"/>
    <col min="513" max="513" width="2.7109375" style="2" customWidth="1"/>
    <col min="514" max="516" width="1.7109375" style="2" customWidth="1"/>
    <col min="517" max="517" width="12.85546875" style="2" customWidth="1"/>
    <col min="518" max="518" width="9.7109375" style="2" customWidth="1"/>
    <col min="519" max="524" width="0" style="2" hidden="1" customWidth="1"/>
    <col min="525" max="535" width="9.7109375" style="2" customWidth="1"/>
    <col min="536" max="550" width="9" style="2" customWidth="1"/>
    <col min="551" max="768" width="9.140625" style="2"/>
    <col min="769" max="769" width="2.7109375" style="2" customWidth="1"/>
    <col min="770" max="772" width="1.7109375" style="2" customWidth="1"/>
    <col min="773" max="773" width="12.85546875" style="2" customWidth="1"/>
    <col min="774" max="774" width="9.7109375" style="2" customWidth="1"/>
    <col min="775" max="780" width="0" style="2" hidden="1" customWidth="1"/>
    <col min="781" max="791" width="9.7109375" style="2" customWidth="1"/>
    <col min="792" max="806" width="9" style="2" customWidth="1"/>
    <col min="807" max="1024" width="9.140625" style="2"/>
    <col min="1025" max="1025" width="2.7109375" style="2" customWidth="1"/>
    <col min="1026" max="1028" width="1.7109375" style="2" customWidth="1"/>
    <col min="1029" max="1029" width="12.85546875" style="2" customWidth="1"/>
    <col min="1030" max="1030" width="9.7109375" style="2" customWidth="1"/>
    <col min="1031" max="1036" width="0" style="2" hidden="1" customWidth="1"/>
    <col min="1037" max="1047" width="9.7109375" style="2" customWidth="1"/>
    <col min="1048" max="1062" width="9" style="2" customWidth="1"/>
    <col min="1063" max="1280" width="9.140625" style="2"/>
    <col min="1281" max="1281" width="2.7109375" style="2" customWidth="1"/>
    <col min="1282" max="1284" width="1.7109375" style="2" customWidth="1"/>
    <col min="1285" max="1285" width="12.85546875" style="2" customWidth="1"/>
    <col min="1286" max="1286" width="9.7109375" style="2" customWidth="1"/>
    <col min="1287" max="1292" width="0" style="2" hidden="1" customWidth="1"/>
    <col min="1293" max="1303" width="9.7109375" style="2" customWidth="1"/>
    <col min="1304" max="1318" width="9" style="2" customWidth="1"/>
    <col min="1319" max="1536" width="9.140625" style="2"/>
    <col min="1537" max="1537" width="2.7109375" style="2" customWidth="1"/>
    <col min="1538" max="1540" width="1.7109375" style="2" customWidth="1"/>
    <col min="1541" max="1541" width="12.85546875" style="2" customWidth="1"/>
    <col min="1542" max="1542" width="9.7109375" style="2" customWidth="1"/>
    <col min="1543" max="1548" width="0" style="2" hidden="1" customWidth="1"/>
    <col min="1549" max="1559" width="9.7109375" style="2" customWidth="1"/>
    <col min="1560" max="1574" width="9" style="2" customWidth="1"/>
    <col min="1575" max="1792" width="9.140625" style="2"/>
    <col min="1793" max="1793" width="2.7109375" style="2" customWidth="1"/>
    <col min="1794" max="1796" width="1.7109375" style="2" customWidth="1"/>
    <col min="1797" max="1797" width="12.85546875" style="2" customWidth="1"/>
    <col min="1798" max="1798" width="9.7109375" style="2" customWidth="1"/>
    <col min="1799" max="1804" width="0" style="2" hidden="1" customWidth="1"/>
    <col min="1805" max="1815" width="9.7109375" style="2" customWidth="1"/>
    <col min="1816" max="1830" width="9" style="2" customWidth="1"/>
    <col min="1831" max="2048" width="9.140625" style="2"/>
    <col min="2049" max="2049" width="2.7109375" style="2" customWidth="1"/>
    <col min="2050" max="2052" width="1.7109375" style="2" customWidth="1"/>
    <col min="2053" max="2053" width="12.85546875" style="2" customWidth="1"/>
    <col min="2054" max="2054" width="9.7109375" style="2" customWidth="1"/>
    <col min="2055" max="2060" width="0" style="2" hidden="1" customWidth="1"/>
    <col min="2061" max="2071" width="9.7109375" style="2" customWidth="1"/>
    <col min="2072" max="2086" width="9" style="2" customWidth="1"/>
    <col min="2087" max="2304" width="9.140625" style="2"/>
    <col min="2305" max="2305" width="2.7109375" style="2" customWidth="1"/>
    <col min="2306" max="2308" width="1.7109375" style="2" customWidth="1"/>
    <col min="2309" max="2309" width="12.85546875" style="2" customWidth="1"/>
    <col min="2310" max="2310" width="9.7109375" style="2" customWidth="1"/>
    <col min="2311" max="2316" width="0" style="2" hidden="1" customWidth="1"/>
    <col min="2317" max="2327" width="9.7109375" style="2" customWidth="1"/>
    <col min="2328" max="2342" width="9" style="2" customWidth="1"/>
    <col min="2343" max="2560" width="9.140625" style="2"/>
    <col min="2561" max="2561" width="2.7109375" style="2" customWidth="1"/>
    <col min="2562" max="2564" width="1.7109375" style="2" customWidth="1"/>
    <col min="2565" max="2565" width="12.85546875" style="2" customWidth="1"/>
    <col min="2566" max="2566" width="9.7109375" style="2" customWidth="1"/>
    <col min="2567" max="2572" width="0" style="2" hidden="1" customWidth="1"/>
    <col min="2573" max="2583" width="9.7109375" style="2" customWidth="1"/>
    <col min="2584" max="2598" width="9" style="2" customWidth="1"/>
    <col min="2599" max="2816" width="9.140625" style="2"/>
    <col min="2817" max="2817" width="2.7109375" style="2" customWidth="1"/>
    <col min="2818" max="2820" width="1.7109375" style="2" customWidth="1"/>
    <col min="2821" max="2821" width="12.85546875" style="2" customWidth="1"/>
    <col min="2822" max="2822" width="9.7109375" style="2" customWidth="1"/>
    <col min="2823" max="2828" width="0" style="2" hidden="1" customWidth="1"/>
    <col min="2829" max="2839" width="9.7109375" style="2" customWidth="1"/>
    <col min="2840" max="2854" width="9" style="2" customWidth="1"/>
    <col min="2855" max="3072" width="9.140625" style="2"/>
    <col min="3073" max="3073" width="2.7109375" style="2" customWidth="1"/>
    <col min="3074" max="3076" width="1.7109375" style="2" customWidth="1"/>
    <col min="3077" max="3077" width="12.85546875" style="2" customWidth="1"/>
    <col min="3078" max="3078" width="9.7109375" style="2" customWidth="1"/>
    <col min="3079" max="3084" width="0" style="2" hidden="1" customWidth="1"/>
    <col min="3085" max="3095" width="9.7109375" style="2" customWidth="1"/>
    <col min="3096" max="3110" width="9" style="2" customWidth="1"/>
    <col min="3111" max="3328" width="9.140625" style="2"/>
    <col min="3329" max="3329" width="2.7109375" style="2" customWidth="1"/>
    <col min="3330" max="3332" width="1.7109375" style="2" customWidth="1"/>
    <col min="3333" max="3333" width="12.85546875" style="2" customWidth="1"/>
    <col min="3334" max="3334" width="9.7109375" style="2" customWidth="1"/>
    <col min="3335" max="3340" width="0" style="2" hidden="1" customWidth="1"/>
    <col min="3341" max="3351" width="9.7109375" style="2" customWidth="1"/>
    <col min="3352" max="3366" width="9" style="2" customWidth="1"/>
    <col min="3367" max="3584" width="9.140625" style="2"/>
    <col min="3585" max="3585" width="2.7109375" style="2" customWidth="1"/>
    <col min="3586" max="3588" width="1.7109375" style="2" customWidth="1"/>
    <col min="3589" max="3589" width="12.85546875" style="2" customWidth="1"/>
    <col min="3590" max="3590" width="9.7109375" style="2" customWidth="1"/>
    <col min="3591" max="3596" width="0" style="2" hidden="1" customWidth="1"/>
    <col min="3597" max="3607" width="9.7109375" style="2" customWidth="1"/>
    <col min="3608" max="3622" width="9" style="2" customWidth="1"/>
    <col min="3623" max="3840" width="9.140625" style="2"/>
    <col min="3841" max="3841" width="2.7109375" style="2" customWidth="1"/>
    <col min="3842" max="3844" width="1.7109375" style="2" customWidth="1"/>
    <col min="3845" max="3845" width="12.85546875" style="2" customWidth="1"/>
    <col min="3846" max="3846" width="9.7109375" style="2" customWidth="1"/>
    <col min="3847" max="3852" width="0" style="2" hidden="1" customWidth="1"/>
    <col min="3853" max="3863" width="9.7109375" style="2" customWidth="1"/>
    <col min="3864" max="3878" width="9" style="2" customWidth="1"/>
    <col min="3879" max="4096" width="9.140625" style="2"/>
    <col min="4097" max="4097" width="2.7109375" style="2" customWidth="1"/>
    <col min="4098" max="4100" width="1.7109375" style="2" customWidth="1"/>
    <col min="4101" max="4101" width="12.85546875" style="2" customWidth="1"/>
    <col min="4102" max="4102" width="9.7109375" style="2" customWidth="1"/>
    <col min="4103" max="4108" width="0" style="2" hidden="1" customWidth="1"/>
    <col min="4109" max="4119" width="9.7109375" style="2" customWidth="1"/>
    <col min="4120" max="4134" width="9" style="2" customWidth="1"/>
    <col min="4135" max="4352" width="9.140625" style="2"/>
    <col min="4353" max="4353" width="2.7109375" style="2" customWidth="1"/>
    <col min="4354" max="4356" width="1.7109375" style="2" customWidth="1"/>
    <col min="4357" max="4357" width="12.85546875" style="2" customWidth="1"/>
    <col min="4358" max="4358" width="9.7109375" style="2" customWidth="1"/>
    <col min="4359" max="4364" width="0" style="2" hidden="1" customWidth="1"/>
    <col min="4365" max="4375" width="9.7109375" style="2" customWidth="1"/>
    <col min="4376" max="4390" width="9" style="2" customWidth="1"/>
    <col min="4391" max="4608" width="9.140625" style="2"/>
    <col min="4609" max="4609" width="2.7109375" style="2" customWidth="1"/>
    <col min="4610" max="4612" width="1.7109375" style="2" customWidth="1"/>
    <col min="4613" max="4613" width="12.85546875" style="2" customWidth="1"/>
    <col min="4614" max="4614" width="9.7109375" style="2" customWidth="1"/>
    <col min="4615" max="4620" width="0" style="2" hidden="1" customWidth="1"/>
    <col min="4621" max="4631" width="9.7109375" style="2" customWidth="1"/>
    <col min="4632" max="4646" width="9" style="2" customWidth="1"/>
    <col min="4647" max="4864" width="9.140625" style="2"/>
    <col min="4865" max="4865" width="2.7109375" style="2" customWidth="1"/>
    <col min="4866" max="4868" width="1.7109375" style="2" customWidth="1"/>
    <col min="4869" max="4869" width="12.85546875" style="2" customWidth="1"/>
    <col min="4870" max="4870" width="9.7109375" style="2" customWidth="1"/>
    <col min="4871" max="4876" width="0" style="2" hidden="1" customWidth="1"/>
    <col min="4877" max="4887" width="9.7109375" style="2" customWidth="1"/>
    <col min="4888" max="4902" width="9" style="2" customWidth="1"/>
    <col min="4903" max="5120" width="9.140625" style="2"/>
    <col min="5121" max="5121" width="2.7109375" style="2" customWidth="1"/>
    <col min="5122" max="5124" width="1.7109375" style="2" customWidth="1"/>
    <col min="5125" max="5125" width="12.85546875" style="2" customWidth="1"/>
    <col min="5126" max="5126" width="9.7109375" style="2" customWidth="1"/>
    <col min="5127" max="5132" width="0" style="2" hidden="1" customWidth="1"/>
    <col min="5133" max="5143" width="9.7109375" style="2" customWidth="1"/>
    <col min="5144" max="5158" width="9" style="2" customWidth="1"/>
    <col min="5159" max="5376" width="9.140625" style="2"/>
    <col min="5377" max="5377" width="2.7109375" style="2" customWidth="1"/>
    <col min="5378" max="5380" width="1.7109375" style="2" customWidth="1"/>
    <col min="5381" max="5381" width="12.85546875" style="2" customWidth="1"/>
    <col min="5382" max="5382" width="9.7109375" style="2" customWidth="1"/>
    <col min="5383" max="5388" width="0" style="2" hidden="1" customWidth="1"/>
    <col min="5389" max="5399" width="9.7109375" style="2" customWidth="1"/>
    <col min="5400" max="5414" width="9" style="2" customWidth="1"/>
    <col min="5415" max="5632" width="9.140625" style="2"/>
    <col min="5633" max="5633" width="2.7109375" style="2" customWidth="1"/>
    <col min="5634" max="5636" width="1.7109375" style="2" customWidth="1"/>
    <col min="5637" max="5637" width="12.85546875" style="2" customWidth="1"/>
    <col min="5638" max="5638" width="9.7109375" style="2" customWidth="1"/>
    <col min="5639" max="5644" width="0" style="2" hidden="1" customWidth="1"/>
    <col min="5645" max="5655" width="9.7109375" style="2" customWidth="1"/>
    <col min="5656" max="5670" width="9" style="2" customWidth="1"/>
    <col min="5671" max="5888" width="9.140625" style="2"/>
    <col min="5889" max="5889" width="2.7109375" style="2" customWidth="1"/>
    <col min="5890" max="5892" width="1.7109375" style="2" customWidth="1"/>
    <col min="5893" max="5893" width="12.85546875" style="2" customWidth="1"/>
    <col min="5894" max="5894" width="9.7109375" style="2" customWidth="1"/>
    <col min="5895" max="5900" width="0" style="2" hidden="1" customWidth="1"/>
    <col min="5901" max="5911" width="9.7109375" style="2" customWidth="1"/>
    <col min="5912" max="5926" width="9" style="2" customWidth="1"/>
    <col min="5927" max="6144" width="9.140625" style="2"/>
    <col min="6145" max="6145" width="2.7109375" style="2" customWidth="1"/>
    <col min="6146" max="6148" width="1.7109375" style="2" customWidth="1"/>
    <col min="6149" max="6149" width="12.85546875" style="2" customWidth="1"/>
    <col min="6150" max="6150" width="9.7109375" style="2" customWidth="1"/>
    <col min="6151" max="6156" width="0" style="2" hidden="1" customWidth="1"/>
    <col min="6157" max="6167" width="9.7109375" style="2" customWidth="1"/>
    <col min="6168" max="6182" width="9" style="2" customWidth="1"/>
    <col min="6183" max="6400" width="9.140625" style="2"/>
    <col min="6401" max="6401" width="2.7109375" style="2" customWidth="1"/>
    <col min="6402" max="6404" width="1.7109375" style="2" customWidth="1"/>
    <col min="6405" max="6405" width="12.85546875" style="2" customWidth="1"/>
    <col min="6406" max="6406" width="9.7109375" style="2" customWidth="1"/>
    <col min="6407" max="6412" width="0" style="2" hidden="1" customWidth="1"/>
    <col min="6413" max="6423" width="9.7109375" style="2" customWidth="1"/>
    <col min="6424" max="6438" width="9" style="2" customWidth="1"/>
    <col min="6439" max="6656" width="9.140625" style="2"/>
    <col min="6657" max="6657" width="2.7109375" style="2" customWidth="1"/>
    <col min="6658" max="6660" width="1.7109375" style="2" customWidth="1"/>
    <col min="6661" max="6661" width="12.85546875" style="2" customWidth="1"/>
    <col min="6662" max="6662" width="9.7109375" style="2" customWidth="1"/>
    <col min="6663" max="6668" width="0" style="2" hidden="1" customWidth="1"/>
    <col min="6669" max="6679" width="9.7109375" style="2" customWidth="1"/>
    <col min="6680" max="6694" width="9" style="2" customWidth="1"/>
    <col min="6695" max="6912" width="9.140625" style="2"/>
    <col min="6913" max="6913" width="2.7109375" style="2" customWidth="1"/>
    <col min="6914" max="6916" width="1.7109375" style="2" customWidth="1"/>
    <col min="6917" max="6917" width="12.85546875" style="2" customWidth="1"/>
    <col min="6918" max="6918" width="9.7109375" style="2" customWidth="1"/>
    <col min="6919" max="6924" width="0" style="2" hidden="1" customWidth="1"/>
    <col min="6925" max="6935" width="9.7109375" style="2" customWidth="1"/>
    <col min="6936" max="6950" width="9" style="2" customWidth="1"/>
    <col min="6951" max="7168" width="9.140625" style="2"/>
    <col min="7169" max="7169" width="2.7109375" style="2" customWidth="1"/>
    <col min="7170" max="7172" width="1.7109375" style="2" customWidth="1"/>
    <col min="7173" max="7173" width="12.85546875" style="2" customWidth="1"/>
    <col min="7174" max="7174" width="9.7109375" style="2" customWidth="1"/>
    <col min="7175" max="7180" width="0" style="2" hidden="1" customWidth="1"/>
    <col min="7181" max="7191" width="9.7109375" style="2" customWidth="1"/>
    <col min="7192" max="7206" width="9" style="2" customWidth="1"/>
    <col min="7207" max="7424" width="9.140625" style="2"/>
    <col min="7425" max="7425" width="2.7109375" style="2" customWidth="1"/>
    <col min="7426" max="7428" width="1.7109375" style="2" customWidth="1"/>
    <col min="7429" max="7429" width="12.85546875" style="2" customWidth="1"/>
    <col min="7430" max="7430" width="9.7109375" style="2" customWidth="1"/>
    <col min="7431" max="7436" width="0" style="2" hidden="1" customWidth="1"/>
    <col min="7437" max="7447" width="9.7109375" style="2" customWidth="1"/>
    <col min="7448" max="7462" width="9" style="2" customWidth="1"/>
    <col min="7463" max="7680" width="9.140625" style="2"/>
    <col min="7681" max="7681" width="2.7109375" style="2" customWidth="1"/>
    <col min="7682" max="7684" width="1.7109375" style="2" customWidth="1"/>
    <col min="7685" max="7685" width="12.85546875" style="2" customWidth="1"/>
    <col min="7686" max="7686" width="9.7109375" style="2" customWidth="1"/>
    <col min="7687" max="7692" width="0" style="2" hidden="1" customWidth="1"/>
    <col min="7693" max="7703" width="9.7109375" style="2" customWidth="1"/>
    <col min="7704" max="7718" width="9" style="2" customWidth="1"/>
    <col min="7719" max="7936" width="9.140625" style="2"/>
    <col min="7937" max="7937" width="2.7109375" style="2" customWidth="1"/>
    <col min="7938" max="7940" width="1.7109375" style="2" customWidth="1"/>
    <col min="7941" max="7941" width="12.85546875" style="2" customWidth="1"/>
    <col min="7942" max="7942" width="9.7109375" style="2" customWidth="1"/>
    <col min="7943" max="7948" width="0" style="2" hidden="1" customWidth="1"/>
    <col min="7949" max="7959" width="9.7109375" style="2" customWidth="1"/>
    <col min="7960" max="7974" width="9" style="2" customWidth="1"/>
    <col min="7975" max="8192" width="9.140625" style="2"/>
    <col min="8193" max="8193" width="2.7109375" style="2" customWidth="1"/>
    <col min="8194" max="8196" width="1.7109375" style="2" customWidth="1"/>
    <col min="8197" max="8197" width="12.85546875" style="2" customWidth="1"/>
    <col min="8198" max="8198" width="9.7109375" style="2" customWidth="1"/>
    <col min="8199" max="8204" width="0" style="2" hidden="1" customWidth="1"/>
    <col min="8205" max="8215" width="9.7109375" style="2" customWidth="1"/>
    <col min="8216" max="8230" width="9" style="2" customWidth="1"/>
    <col min="8231" max="8448" width="9.140625" style="2"/>
    <col min="8449" max="8449" width="2.7109375" style="2" customWidth="1"/>
    <col min="8450" max="8452" width="1.7109375" style="2" customWidth="1"/>
    <col min="8453" max="8453" width="12.85546875" style="2" customWidth="1"/>
    <col min="8454" max="8454" width="9.7109375" style="2" customWidth="1"/>
    <col min="8455" max="8460" width="0" style="2" hidden="1" customWidth="1"/>
    <col min="8461" max="8471" width="9.7109375" style="2" customWidth="1"/>
    <col min="8472" max="8486" width="9" style="2" customWidth="1"/>
    <col min="8487" max="8704" width="9.140625" style="2"/>
    <col min="8705" max="8705" width="2.7109375" style="2" customWidth="1"/>
    <col min="8706" max="8708" width="1.7109375" style="2" customWidth="1"/>
    <col min="8709" max="8709" width="12.85546875" style="2" customWidth="1"/>
    <col min="8710" max="8710" width="9.7109375" style="2" customWidth="1"/>
    <col min="8711" max="8716" width="0" style="2" hidden="1" customWidth="1"/>
    <col min="8717" max="8727" width="9.7109375" style="2" customWidth="1"/>
    <col min="8728" max="8742" width="9" style="2" customWidth="1"/>
    <col min="8743" max="8960" width="9.140625" style="2"/>
    <col min="8961" max="8961" width="2.7109375" style="2" customWidth="1"/>
    <col min="8962" max="8964" width="1.7109375" style="2" customWidth="1"/>
    <col min="8965" max="8965" width="12.85546875" style="2" customWidth="1"/>
    <col min="8966" max="8966" width="9.7109375" style="2" customWidth="1"/>
    <col min="8967" max="8972" width="0" style="2" hidden="1" customWidth="1"/>
    <col min="8973" max="8983" width="9.7109375" style="2" customWidth="1"/>
    <col min="8984" max="8998" width="9" style="2" customWidth="1"/>
    <col min="8999" max="9216" width="9.140625" style="2"/>
    <col min="9217" max="9217" width="2.7109375" style="2" customWidth="1"/>
    <col min="9218" max="9220" width="1.7109375" style="2" customWidth="1"/>
    <col min="9221" max="9221" width="12.85546875" style="2" customWidth="1"/>
    <col min="9222" max="9222" width="9.7109375" style="2" customWidth="1"/>
    <col min="9223" max="9228" width="0" style="2" hidden="1" customWidth="1"/>
    <col min="9229" max="9239" width="9.7109375" style="2" customWidth="1"/>
    <col min="9240" max="9254" width="9" style="2" customWidth="1"/>
    <col min="9255" max="9472" width="9.140625" style="2"/>
    <col min="9473" max="9473" width="2.7109375" style="2" customWidth="1"/>
    <col min="9474" max="9476" width="1.7109375" style="2" customWidth="1"/>
    <col min="9477" max="9477" width="12.85546875" style="2" customWidth="1"/>
    <col min="9478" max="9478" width="9.7109375" style="2" customWidth="1"/>
    <col min="9479" max="9484" width="0" style="2" hidden="1" customWidth="1"/>
    <col min="9485" max="9495" width="9.7109375" style="2" customWidth="1"/>
    <col min="9496" max="9510" width="9" style="2" customWidth="1"/>
    <col min="9511" max="9728" width="9.140625" style="2"/>
    <col min="9729" max="9729" width="2.7109375" style="2" customWidth="1"/>
    <col min="9730" max="9732" width="1.7109375" style="2" customWidth="1"/>
    <col min="9733" max="9733" width="12.85546875" style="2" customWidth="1"/>
    <col min="9734" max="9734" width="9.7109375" style="2" customWidth="1"/>
    <col min="9735" max="9740" width="0" style="2" hidden="1" customWidth="1"/>
    <col min="9741" max="9751" width="9.7109375" style="2" customWidth="1"/>
    <col min="9752" max="9766" width="9" style="2" customWidth="1"/>
    <col min="9767" max="9984" width="9.140625" style="2"/>
    <col min="9985" max="9985" width="2.7109375" style="2" customWidth="1"/>
    <col min="9986" max="9988" width="1.7109375" style="2" customWidth="1"/>
    <col min="9989" max="9989" width="12.85546875" style="2" customWidth="1"/>
    <col min="9990" max="9990" width="9.7109375" style="2" customWidth="1"/>
    <col min="9991" max="9996" width="0" style="2" hidden="1" customWidth="1"/>
    <col min="9997" max="10007" width="9.7109375" style="2" customWidth="1"/>
    <col min="10008" max="10022" width="9" style="2" customWidth="1"/>
    <col min="10023" max="10240" width="9.140625" style="2"/>
    <col min="10241" max="10241" width="2.7109375" style="2" customWidth="1"/>
    <col min="10242" max="10244" width="1.7109375" style="2" customWidth="1"/>
    <col min="10245" max="10245" width="12.85546875" style="2" customWidth="1"/>
    <col min="10246" max="10246" width="9.7109375" style="2" customWidth="1"/>
    <col min="10247" max="10252" width="0" style="2" hidden="1" customWidth="1"/>
    <col min="10253" max="10263" width="9.7109375" style="2" customWidth="1"/>
    <col min="10264" max="10278" width="9" style="2" customWidth="1"/>
    <col min="10279" max="10496" width="9.140625" style="2"/>
    <col min="10497" max="10497" width="2.7109375" style="2" customWidth="1"/>
    <col min="10498" max="10500" width="1.7109375" style="2" customWidth="1"/>
    <col min="10501" max="10501" width="12.85546875" style="2" customWidth="1"/>
    <col min="10502" max="10502" width="9.7109375" style="2" customWidth="1"/>
    <col min="10503" max="10508" width="0" style="2" hidden="1" customWidth="1"/>
    <col min="10509" max="10519" width="9.7109375" style="2" customWidth="1"/>
    <col min="10520" max="10534" width="9" style="2" customWidth="1"/>
    <col min="10535" max="10752" width="9.140625" style="2"/>
    <col min="10753" max="10753" width="2.7109375" style="2" customWidth="1"/>
    <col min="10754" max="10756" width="1.7109375" style="2" customWidth="1"/>
    <col min="10757" max="10757" width="12.85546875" style="2" customWidth="1"/>
    <col min="10758" max="10758" width="9.7109375" style="2" customWidth="1"/>
    <col min="10759" max="10764" width="0" style="2" hidden="1" customWidth="1"/>
    <col min="10765" max="10775" width="9.7109375" style="2" customWidth="1"/>
    <col min="10776" max="10790" width="9" style="2" customWidth="1"/>
    <col min="10791" max="11008" width="9.140625" style="2"/>
    <col min="11009" max="11009" width="2.7109375" style="2" customWidth="1"/>
    <col min="11010" max="11012" width="1.7109375" style="2" customWidth="1"/>
    <col min="11013" max="11013" width="12.85546875" style="2" customWidth="1"/>
    <col min="11014" max="11014" width="9.7109375" style="2" customWidth="1"/>
    <col min="11015" max="11020" width="0" style="2" hidden="1" customWidth="1"/>
    <col min="11021" max="11031" width="9.7109375" style="2" customWidth="1"/>
    <col min="11032" max="11046" width="9" style="2" customWidth="1"/>
    <col min="11047" max="11264" width="9.140625" style="2"/>
    <col min="11265" max="11265" width="2.7109375" style="2" customWidth="1"/>
    <col min="11266" max="11268" width="1.7109375" style="2" customWidth="1"/>
    <col min="11269" max="11269" width="12.85546875" style="2" customWidth="1"/>
    <col min="11270" max="11270" width="9.7109375" style="2" customWidth="1"/>
    <col min="11271" max="11276" width="0" style="2" hidden="1" customWidth="1"/>
    <col min="11277" max="11287" width="9.7109375" style="2" customWidth="1"/>
    <col min="11288" max="11302" width="9" style="2" customWidth="1"/>
    <col min="11303" max="11520" width="9.140625" style="2"/>
    <col min="11521" max="11521" width="2.7109375" style="2" customWidth="1"/>
    <col min="11522" max="11524" width="1.7109375" style="2" customWidth="1"/>
    <col min="11525" max="11525" width="12.85546875" style="2" customWidth="1"/>
    <col min="11526" max="11526" width="9.7109375" style="2" customWidth="1"/>
    <col min="11527" max="11532" width="0" style="2" hidden="1" customWidth="1"/>
    <col min="11533" max="11543" width="9.7109375" style="2" customWidth="1"/>
    <col min="11544" max="11558" width="9" style="2" customWidth="1"/>
    <col min="11559" max="11776" width="9.140625" style="2"/>
    <col min="11777" max="11777" width="2.7109375" style="2" customWidth="1"/>
    <col min="11778" max="11780" width="1.7109375" style="2" customWidth="1"/>
    <col min="11781" max="11781" width="12.85546875" style="2" customWidth="1"/>
    <col min="11782" max="11782" width="9.7109375" style="2" customWidth="1"/>
    <col min="11783" max="11788" width="0" style="2" hidden="1" customWidth="1"/>
    <col min="11789" max="11799" width="9.7109375" style="2" customWidth="1"/>
    <col min="11800" max="11814" width="9" style="2" customWidth="1"/>
    <col min="11815" max="12032" width="9.140625" style="2"/>
    <col min="12033" max="12033" width="2.7109375" style="2" customWidth="1"/>
    <col min="12034" max="12036" width="1.7109375" style="2" customWidth="1"/>
    <col min="12037" max="12037" width="12.85546875" style="2" customWidth="1"/>
    <col min="12038" max="12038" width="9.7109375" style="2" customWidth="1"/>
    <col min="12039" max="12044" width="0" style="2" hidden="1" customWidth="1"/>
    <col min="12045" max="12055" width="9.7109375" style="2" customWidth="1"/>
    <col min="12056" max="12070" width="9" style="2" customWidth="1"/>
    <col min="12071" max="12288" width="9.140625" style="2"/>
    <col min="12289" max="12289" width="2.7109375" style="2" customWidth="1"/>
    <col min="12290" max="12292" width="1.7109375" style="2" customWidth="1"/>
    <col min="12293" max="12293" width="12.85546875" style="2" customWidth="1"/>
    <col min="12294" max="12294" width="9.7109375" style="2" customWidth="1"/>
    <col min="12295" max="12300" width="0" style="2" hidden="1" customWidth="1"/>
    <col min="12301" max="12311" width="9.7109375" style="2" customWidth="1"/>
    <col min="12312" max="12326" width="9" style="2" customWidth="1"/>
    <col min="12327" max="12544" width="9.140625" style="2"/>
    <col min="12545" max="12545" width="2.7109375" style="2" customWidth="1"/>
    <col min="12546" max="12548" width="1.7109375" style="2" customWidth="1"/>
    <col min="12549" max="12549" width="12.85546875" style="2" customWidth="1"/>
    <col min="12550" max="12550" width="9.7109375" style="2" customWidth="1"/>
    <col min="12551" max="12556" width="0" style="2" hidden="1" customWidth="1"/>
    <col min="12557" max="12567" width="9.7109375" style="2" customWidth="1"/>
    <col min="12568" max="12582" width="9" style="2" customWidth="1"/>
    <col min="12583" max="12800" width="9.140625" style="2"/>
    <col min="12801" max="12801" width="2.7109375" style="2" customWidth="1"/>
    <col min="12802" max="12804" width="1.7109375" style="2" customWidth="1"/>
    <col min="12805" max="12805" width="12.85546875" style="2" customWidth="1"/>
    <col min="12806" max="12806" width="9.7109375" style="2" customWidth="1"/>
    <col min="12807" max="12812" width="0" style="2" hidden="1" customWidth="1"/>
    <col min="12813" max="12823" width="9.7109375" style="2" customWidth="1"/>
    <col min="12824" max="12838" width="9" style="2" customWidth="1"/>
    <col min="12839" max="13056" width="9.140625" style="2"/>
    <col min="13057" max="13057" width="2.7109375" style="2" customWidth="1"/>
    <col min="13058" max="13060" width="1.7109375" style="2" customWidth="1"/>
    <col min="13061" max="13061" width="12.85546875" style="2" customWidth="1"/>
    <col min="13062" max="13062" width="9.7109375" style="2" customWidth="1"/>
    <col min="13063" max="13068" width="0" style="2" hidden="1" customWidth="1"/>
    <col min="13069" max="13079" width="9.7109375" style="2" customWidth="1"/>
    <col min="13080" max="13094" width="9" style="2" customWidth="1"/>
    <col min="13095" max="13312" width="9.140625" style="2"/>
    <col min="13313" max="13313" width="2.7109375" style="2" customWidth="1"/>
    <col min="13314" max="13316" width="1.7109375" style="2" customWidth="1"/>
    <col min="13317" max="13317" width="12.85546875" style="2" customWidth="1"/>
    <col min="13318" max="13318" width="9.7109375" style="2" customWidth="1"/>
    <col min="13319" max="13324" width="0" style="2" hidden="1" customWidth="1"/>
    <col min="13325" max="13335" width="9.7109375" style="2" customWidth="1"/>
    <col min="13336" max="13350" width="9" style="2" customWidth="1"/>
    <col min="13351" max="13568" width="9.140625" style="2"/>
    <col min="13569" max="13569" width="2.7109375" style="2" customWidth="1"/>
    <col min="13570" max="13572" width="1.7109375" style="2" customWidth="1"/>
    <col min="13573" max="13573" width="12.85546875" style="2" customWidth="1"/>
    <col min="13574" max="13574" width="9.7109375" style="2" customWidth="1"/>
    <col min="13575" max="13580" width="0" style="2" hidden="1" customWidth="1"/>
    <col min="13581" max="13591" width="9.7109375" style="2" customWidth="1"/>
    <col min="13592" max="13606" width="9" style="2" customWidth="1"/>
    <col min="13607" max="13824" width="9.140625" style="2"/>
    <col min="13825" max="13825" width="2.7109375" style="2" customWidth="1"/>
    <col min="13826" max="13828" width="1.7109375" style="2" customWidth="1"/>
    <col min="13829" max="13829" width="12.85546875" style="2" customWidth="1"/>
    <col min="13830" max="13830" width="9.7109375" style="2" customWidth="1"/>
    <col min="13831" max="13836" width="0" style="2" hidden="1" customWidth="1"/>
    <col min="13837" max="13847" width="9.7109375" style="2" customWidth="1"/>
    <col min="13848" max="13862" width="9" style="2" customWidth="1"/>
    <col min="13863" max="14080" width="9.140625" style="2"/>
    <col min="14081" max="14081" width="2.7109375" style="2" customWidth="1"/>
    <col min="14082" max="14084" width="1.7109375" style="2" customWidth="1"/>
    <col min="14085" max="14085" width="12.85546875" style="2" customWidth="1"/>
    <col min="14086" max="14086" width="9.7109375" style="2" customWidth="1"/>
    <col min="14087" max="14092" width="0" style="2" hidden="1" customWidth="1"/>
    <col min="14093" max="14103" width="9.7109375" style="2" customWidth="1"/>
    <col min="14104" max="14118" width="9" style="2" customWidth="1"/>
    <col min="14119" max="14336" width="9.140625" style="2"/>
    <col min="14337" max="14337" width="2.7109375" style="2" customWidth="1"/>
    <col min="14338" max="14340" width="1.7109375" style="2" customWidth="1"/>
    <col min="14341" max="14341" width="12.85546875" style="2" customWidth="1"/>
    <col min="14342" max="14342" width="9.7109375" style="2" customWidth="1"/>
    <col min="14343" max="14348" width="0" style="2" hidden="1" customWidth="1"/>
    <col min="14349" max="14359" width="9.7109375" style="2" customWidth="1"/>
    <col min="14360" max="14374" width="9" style="2" customWidth="1"/>
    <col min="14375" max="14592" width="9.140625" style="2"/>
    <col min="14593" max="14593" width="2.7109375" style="2" customWidth="1"/>
    <col min="14594" max="14596" width="1.7109375" style="2" customWidth="1"/>
    <col min="14597" max="14597" width="12.85546875" style="2" customWidth="1"/>
    <col min="14598" max="14598" width="9.7109375" style="2" customWidth="1"/>
    <col min="14599" max="14604" width="0" style="2" hidden="1" customWidth="1"/>
    <col min="14605" max="14615" width="9.7109375" style="2" customWidth="1"/>
    <col min="14616" max="14630" width="9" style="2" customWidth="1"/>
    <col min="14631" max="14848" width="9.140625" style="2"/>
    <col min="14849" max="14849" width="2.7109375" style="2" customWidth="1"/>
    <col min="14850" max="14852" width="1.7109375" style="2" customWidth="1"/>
    <col min="14853" max="14853" width="12.85546875" style="2" customWidth="1"/>
    <col min="14854" max="14854" width="9.7109375" style="2" customWidth="1"/>
    <col min="14855" max="14860" width="0" style="2" hidden="1" customWidth="1"/>
    <col min="14861" max="14871" width="9.7109375" style="2" customWidth="1"/>
    <col min="14872" max="14886" width="9" style="2" customWidth="1"/>
    <col min="14887" max="15104" width="9.140625" style="2"/>
    <col min="15105" max="15105" width="2.7109375" style="2" customWidth="1"/>
    <col min="15106" max="15108" width="1.7109375" style="2" customWidth="1"/>
    <col min="15109" max="15109" width="12.85546875" style="2" customWidth="1"/>
    <col min="15110" max="15110" width="9.7109375" style="2" customWidth="1"/>
    <col min="15111" max="15116" width="0" style="2" hidden="1" customWidth="1"/>
    <col min="15117" max="15127" width="9.7109375" style="2" customWidth="1"/>
    <col min="15128" max="15142" width="9" style="2" customWidth="1"/>
    <col min="15143" max="15360" width="9.140625" style="2"/>
    <col min="15361" max="15361" width="2.7109375" style="2" customWidth="1"/>
    <col min="15362" max="15364" width="1.7109375" style="2" customWidth="1"/>
    <col min="15365" max="15365" width="12.85546875" style="2" customWidth="1"/>
    <col min="15366" max="15366" width="9.7109375" style="2" customWidth="1"/>
    <col min="15367" max="15372" width="0" style="2" hidden="1" customWidth="1"/>
    <col min="15373" max="15383" width="9.7109375" style="2" customWidth="1"/>
    <col min="15384" max="15398" width="9" style="2" customWidth="1"/>
    <col min="15399" max="15616" width="9.140625" style="2"/>
    <col min="15617" max="15617" width="2.7109375" style="2" customWidth="1"/>
    <col min="15618" max="15620" width="1.7109375" style="2" customWidth="1"/>
    <col min="15621" max="15621" width="12.85546875" style="2" customWidth="1"/>
    <col min="15622" max="15622" width="9.7109375" style="2" customWidth="1"/>
    <col min="15623" max="15628" width="0" style="2" hidden="1" customWidth="1"/>
    <col min="15629" max="15639" width="9.7109375" style="2" customWidth="1"/>
    <col min="15640" max="15654" width="9" style="2" customWidth="1"/>
    <col min="15655" max="15872" width="9.140625" style="2"/>
    <col min="15873" max="15873" width="2.7109375" style="2" customWidth="1"/>
    <col min="15874" max="15876" width="1.7109375" style="2" customWidth="1"/>
    <col min="15877" max="15877" width="12.85546875" style="2" customWidth="1"/>
    <col min="15878" max="15878" width="9.7109375" style="2" customWidth="1"/>
    <col min="15879" max="15884" width="0" style="2" hidden="1" customWidth="1"/>
    <col min="15885" max="15895" width="9.7109375" style="2" customWidth="1"/>
    <col min="15896" max="15910" width="9" style="2" customWidth="1"/>
    <col min="15911" max="16128" width="9.140625" style="2"/>
    <col min="16129" max="16129" width="2.7109375" style="2" customWidth="1"/>
    <col min="16130" max="16132" width="1.7109375" style="2" customWidth="1"/>
    <col min="16133" max="16133" width="12.85546875" style="2" customWidth="1"/>
    <col min="16134" max="16134" width="9.7109375" style="2" customWidth="1"/>
    <col min="16135" max="16140" width="0" style="2" hidden="1" customWidth="1"/>
    <col min="16141" max="16151" width="9.7109375" style="2" customWidth="1"/>
    <col min="16152" max="16166" width="9" style="2" customWidth="1"/>
    <col min="16167" max="16384" width="9.140625" style="2"/>
  </cols>
  <sheetData>
    <row r="1" spans="1:41">
      <c r="A1" s="1" t="s">
        <v>25</v>
      </c>
    </row>
    <row r="2" spans="1:41">
      <c r="A2" s="1" t="s">
        <v>120</v>
      </c>
      <c r="F2" s="1" t="s">
        <v>35</v>
      </c>
    </row>
    <row r="3" spans="1:41">
      <c r="A3" s="2" t="s">
        <v>0</v>
      </c>
    </row>
    <row r="4" spans="1:41" ht="12" customHeight="1"/>
    <row r="5" spans="1:41" ht="18" customHeight="1">
      <c r="A5" s="177" t="s">
        <v>1</v>
      </c>
      <c r="B5" s="178"/>
      <c r="C5" s="178"/>
      <c r="D5" s="178"/>
      <c r="E5" s="178"/>
      <c r="F5" s="18" t="s">
        <v>110</v>
      </c>
      <c r="G5" s="77" t="s">
        <v>28</v>
      </c>
      <c r="H5" s="77" t="s">
        <v>29</v>
      </c>
      <c r="I5" s="77" t="s">
        <v>39</v>
      </c>
      <c r="J5" s="77" t="s">
        <v>31</v>
      </c>
      <c r="K5" s="77" t="s">
        <v>32</v>
      </c>
      <c r="L5" s="77" t="s">
        <v>33</v>
      </c>
      <c r="M5" s="77" t="s">
        <v>23</v>
      </c>
      <c r="N5" s="77" t="s">
        <v>24</v>
      </c>
      <c r="O5" s="77" t="s">
        <v>26</v>
      </c>
      <c r="P5" s="77" t="s">
        <v>27</v>
      </c>
      <c r="Q5" s="77" t="s">
        <v>36</v>
      </c>
      <c r="R5" s="77" t="s">
        <v>28</v>
      </c>
      <c r="S5" s="77" t="s">
        <v>29</v>
      </c>
      <c r="T5" s="77" t="s">
        <v>39</v>
      </c>
      <c r="U5" s="77" t="s">
        <v>31</v>
      </c>
      <c r="V5" s="77" t="s">
        <v>32</v>
      </c>
      <c r="W5" s="78" t="s">
        <v>33</v>
      </c>
      <c r="X5" s="86"/>
      <c r="Y5" s="86"/>
      <c r="Z5" s="86"/>
      <c r="AA5" s="86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9" customHeight="1"/>
    <row r="7" spans="1:41" s="1" customFormat="1">
      <c r="A7" s="1" t="s">
        <v>17</v>
      </c>
      <c r="B7" s="2"/>
      <c r="C7" s="2"/>
      <c r="D7" s="2"/>
      <c r="F7" s="41">
        <v>959041</v>
      </c>
      <c r="G7" s="41" t="e">
        <v>#REF!</v>
      </c>
      <c r="H7" s="41" t="e">
        <v>#REF!</v>
      </c>
      <c r="I7" s="41" t="e">
        <v>#REF!</v>
      </c>
      <c r="J7" s="41" t="e">
        <v>#REF!</v>
      </c>
      <c r="K7" s="41" t="e">
        <v>#REF!</v>
      </c>
      <c r="L7" s="41" t="e">
        <v>#REF!</v>
      </c>
      <c r="M7" s="41">
        <v>977521</v>
      </c>
      <c r="N7" s="41">
        <v>1015620</v>
      </c>
      <c r="O7" s="41">
        <v>947491</v>
      </c>
      <c r="P7" s="41">
        <v>966498</v>
      </c>
      <c r="Q7" s="41">
        <v>974052</v>
      </c>
      <c r="R7" s="41">
        <v>975978</v>
      </c>
      <c r="S7" s="41">
        <v>975031</v>
      </c>
      <c r="T7" s="41">
        <v>976786</v>
      </c>
      <c r="U7" s="41">
        <v>941382</v>
      </c>
      <c r="V7" s="41">
        <v>919180</v>
      </c>
      <c r="W7" s="41">
        <v>1125893</v>
      </c>
    </row>
    <row r="8" spans="1:41" ht="7.5" customHeight="1"/>
    <row r="9" spans="1:41">
      <c r="A9" s="1" t="s">
        <v>59</v>
      </c>
      <c r="B9" s="1"/>
      <c r="C9" s="1"/>
      <c r="D9" s="1"/>
      <c r="E9" s="1"/>
      <c r="F9" s="82">
        <v>515028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82">
        <v>0</v>
      </c>
      <c r="M9" s="82">
        <v>526196</v>
      </c>
      <c r="N9" s="82">
        <v>551289</v>
      </c>
      <c r="O9" s="82">
        <v>536276</v>
      </c>
      <c r="P9" s="82">
        <v>540315</v>
      </c>
      <c r="Q9" s="82">
        <v>540922</v>
      </c>
      <c r="R9" s="82">
        <v>534882</v>
      </c>
      <c r="S9" s="82">
        <v>522980</v>
      </c>
      <c r="T9" s="82">
        <v>500864</v>
      </c>
      <c r="U9" s="82">
        <v>488009</v>
      </c>
      <c r="V9" s="82">
        <v>480945</v>
      </c>
      <c r="W9" s="82">
        <v>676868</v>
      </c>
      <c r="X9" s="14"/>
      <c r="Y9" s="14"/>
      <c r="Z9" s="14"/>
      <c r="AA9" s="14"/>
    </row>
    <row r="10" spans="1:41" ht="9" customHeight="1">
      <c r="F10" s="93"/>
      <c r="M10" s="93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41">
      <c r="B11" s="2" t="s">
        <v>9</v>
      </c>
      <c r="F11" s="94">
        <v>473157</v>
      </c>
      <c r="M11" s="94">
        <v>484425</v>
      </c>
      <c r="N11" s="14">
        <v>509794</v>
      </c>
      <c r="O11" s="14">
        <v>495058</v>
      </c>
      <c r="P11" s="14">
        <v>500267</v>
      </c>
      <c r="Q11" s="14">
        <v>501509</v>
      </c>
      <c r="R11" s="14">
        <v>495292</v>
      </c>
      <c r="S11" s="14">
        <v>483535</v>
      </c>
      <c r="T11" s="14">
        <v>461419</v>
      </c>
      <c r="U11" s="14">
        <v>448564</v>
      </c>
      <c r="V11" s="14">
        <v>443116</v>
      </c>
      <c r="W11" s="94">
        <v>638706</v>
      </c>
      <c r="X11" s="15"/>
      <c r="Y11" s="15"/>
      <c r="Z11" s="15"/>
      <c r="AA11" s="15"/>
    </row>
    <row r="12" spans="1:41">
      <c r="A12" s="1"/>
      <c r="C12" s="2" t="s">
        <v>2</v>
      </c>
      <c r="F12" s="93">
        <v>473144</v>
      </c>
      <c r="G12" s="13"/>
      <c r="H12" s="13"/>
      <c r="I12" s="13"/>
      <c r="J12" s="13"/>
      <c r="K12" s="13"/>
      <c r="L12" s="13"/>
      <c r="M12" s="93">
        <v>484412</v>
      </c>
      <c r="N12" s="15">
        <v>509781</v>
      </c>
      <c r="O12" s="15">
        <v>495045</v>
      </c>
      <c r="P12" s="15">
        <v>500254</v>
      </c>
      <c r="Q12" s="15">
        <v>501496</v>
      </c>
      <c r="R12" s="15">
        <v>495279</v>
      </c>
      <c r="S12" s="15">
        <v>483522</v>
      </c>
      <c r="T12" s="15">
        <v>461406</v>
      </c>
      <c r="U12" s="15">
        <v>448551</v>
      </c>
      <c r="V12" s="15">
        <v>443103</v>
      </c>
      <c r="W12" s="93">
        <v>638693</v>
      </c>
      <c r="X12" s="13"/>
      <c r="Y12" s="13"/>
      <c r="Z12" s="13"/>
      <c r="AA12" s="13"/>
    </row>
    <row r="13" spans="1:41">
      <c r="C13" s="2" t="s">
        <v>3</v>
      </c>
      <c r="F13" s="93">
        <v>13</v>
      </c>
      <c r="G13" s="14"/>
      <c r="H13" s="14"/>
      <c r="I13" s="14"/>
      <c r="J13" s="14"/>
      <c r="K13" s="14"/>
      <c r="L13" s="14"/>
      <c r="M13" s="93">
        <v>13</v>
      </c>
      <c r="N13" s="15">
        <v>13</v>
      </c>
      <c r="O13" s="15">
        <v>13</v>
      </c>
      <c r="P13" s="15">
        <v>13</v>
      </c>
      <c r="Q13" s="15">
        <v>13</v>
      </c>
      <c r="R13" s="15">
        <v>13</v>
      </c>
      <c r="S13" s="15">
        <v>13</v>
      </c>
      <c r="T13" s="15">
        <v>13</v>
      </c>
      <c r="U13" s="15">
        <v>13</v>
      </c>
      <c r="V13" s="15">
        <v>13</v>
      </c>
      <c r="W13" s="15">
        <v>13</v>
      </c>
      <c r="X13" s="14"/>
      <c r="Y13" s="14"/>
      <c r="Z13" s="14"/>
      <c r="AA13" s="14"/>
    </row>
    <row r="14" spans="1:41" ht="9" customHeight="1">
      <c r="F14" s="93"/>
      <c r="G14" s="14"/>
      <c r="H14" s="14"/>
      <c r="I14" s="14"/>
      <c r="J14" s="14"/>
      <c r="K14" s="14"/>
      <c r="L14" s="14"/>
      <c r="M14" s="9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41">
      <c r="B15" s="2" t="s">
        <v>60</v>
      </c>
      <c r="F15" s="93">
        <v>41871</v>
      </c>
      <c r="M15" s="93">
        <v>41771</v>
      </c>
      <c r="N15" s="15">
        <v>41495</v>
      </c>
      <c r="O15" s="15">
        <v>41218</v>
      </c>
      <c r="P15" s="15">
        <v>40048</v>
      </c>
      <c r="Q15" s="15">
        <v>39413</v>
      </c>
      <c r="R15" s="15">
        <v>39590</v>
      </c>
      <c r="S15" s="15">
        <v>39445</v>
      </c>
      <c r="T15" s="15">
        <v>39445</v>
      </c>
      <c r="U15" s="15">
        <v>39445</v>
      </c>
      <c r="V15" s="15">
        <v>37829</v>
      </c>
      <c r="W15" s="15">
        <v>38162</v>
      </c>
      <c r="X15" s="15"/>
      <c r="Y15" s="15"/>
      <c r="Z15" s="15"/>
      <c r="AA15" s="15"/>
    </row>
    <row r="16" spans="1:41" ht="9" customHeight="1">
      <c r="F16" s="93"/>
      <c r="M16" s="93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>
      <c r="A17" s="1" t="s">
        <v>125</v>
      </c>
      <c r="B17" s="1"/>
      <c r="C17" s="1"/>
      <c r="D17" s="1"/>
      <c r="E17" s="1"/>
      <c r="F17" s="13">
        <v>444013</v>
      </c>
      <c r="G17" s="13" t="e">
        <v>#REF!</v>
      </c>
      <c r="H17" s="13" t="e">
        <v>#REF!</v>
      </c>
      <c r="I17" s="13" t="e">
        <v>#REF!</v>
      </c>
      <c r="J17" s="13" t="e">
        <v>#REF!</v>
      </c>
      <c r="K17" s="13" t="e">
        <v>#REF!</v>
      </c>
      <c r="L17" s="13" t="e">
        <v>#REF!</v>
      </c>
      <c r="M17" s="13">
        <v>451325</v>
      </c>
      <c r="N17" s="13">
        <v>464331</v>
      </c>
      <c r="O17" s="13">
        <v>411215</v>
      </c>
      <c r="P17" s="13">
        <v>426183</v>
      </c>
      <c r="Q17" s="13">
        <v>433130</v>
      </c>
      <c r="R17" s="13">
        <v>441096</v>
      </c>
      <c r="S17" s="13">
        <v>452051</v>
      </c>
      <c r="T17" s="13">
        <v>475922</v>
      </c>
      <c r="U17" s="13">
        <v>453373</v>
      </c>
      <c r="V17" s="13">
        <v>438235</v>
      </c>
      <c r="W17" s="13">
        <v>449025</v>
      </c>
      <c r="X17" s="13"/>
      <c r="Y17" s="13"/>
      <c r="Z17" s="13"/>
      <c r="AA17" s="13"/>
    </row>
    <row r="18" spans="1:27" ht="9" customHeight="1">
      <c r="A18" s="1"/>
      <c r="B18" s="1"/>
      <c r="C18" s="1"/>
      <c r="D18" s="1"/>
      <c r="E18" s="1"/>
      <c r="F18" s="16"/>
      <c r="G18" s="13"/>
      <c r="H18" s="13"/>
      <c r="I18" s="13"/>
      <c r="J18" s="13"/>
      <c r="K18" s="13"/>
      <c r="L18" s="13"/>
      <c r="M18" s="8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>
      <c r="B19" s="2" t="s">
        <v>9</v>
      </c>
      <c r="F19" s="94">
        <v>254143</v>
      </c>
      <c r="G19" s="14" t="e">
        <v>#REF!</v>
      </c>
      <c r="H19" s="14" t="e">
        <v>#REF!</v>
      </c>
      <c r="I19" s="14" t="e">
        <v>#REF!</v>
      </c>
      <c r="J19" s="14" t="e">
        <v>#REF!</v>
      </c>
      <c r="K19" s="14" t="e">
        <v>#REF!</v>
      </c>
      <c r="L19" s="14" t="e">
        <v>#REF!</v>
      </c>
      <c r="M19" s="14">
        <v>261915</v>
      </c>
      <c r="N19" s="14">
        <v>273509</v>
      </c>
      <c r="O19" s="14">
        <v>292431</v>
      </c>
      <c r="P19" s="14">
        <v>304102</v>
      </c>
      <c r="Q19" s="14">
        <v>312363</v>
      </c>
      <c r="R19" s="14">
        <v>317226</v>
      </c>
      <c r="S19" s="14">
        <v>326366</v>
      </c>
      <c r="T19" s="14">
        <v>346211</v>
      </c>
      <c r="U19" s="14">
        <v>329638</v>
      </c>
      <c r="V19" s="14">
        <v>318124</v>
      </c>
      <c r="W19" s="14">
        <v>333188</v>
      </c>
      <c r="X19" s="14"/>
      <c r="Y19" s="14"/>
      <c r="Z19" s="14"/>
      <c r="AA19" s="14"/>
    </row>
    <row r="20" spans="1:27">
      <c r="C20" s="2" t="s">
        <v>2</v>
      </c>
      <c r="F20" s="93">
        <v>214580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5">
        <v>221387</v>
      </c>
      <c r="N20" s="15">
        <v>231644</v>
      </c>
      <c r="O20" s="15">
        <v>247572</v>
      </c>
      <c r="P20" s="15">
        <v>256281</v>
      </c>
      <c r="Q20" s="15">
        <v>262897</v>
      </c>
      <c r="R20" s="15">
        <v>267229</v>
      </c>
      <c r="S20" s="15">
        <v>274692</v>
      </c>
      <c r="T20" s="15">
        <v>291522</v>
      </c>
      <c r="U20" s="15">
        <v>278697</v>
      </c>
      <c r="V20" s="15">
        <v>268859</v>
      </c>
      <c r="W20" s="15">
        <v>281496</v>
      </c>
      <c r="X20" s="14"/>
      <c r="Y20" s="14"/>
      <c r="Z20" s="14"/>
      <c r="AA20" s="14"/>
    </row>
    <row r="21" spans="1:27">
      <c r="C21" s="2" t="s">
        <v>3</v>
      </c>
      <c r="F21" s="93">
        <v>39563</v>
      </c>
      <c r="M21" s="93">
        <v>40528</v>
      </c>
      <c r="N21" s="15">
        <v>41865</v>
      </c>
      <c r="O21" s="15">
        <v>44859</v>
      </c>
      <c r="P21" s="15">
        <v>47821</v>
      </c>
      <c r="Q21" s="15">
        <v>49466</v>
      </c>
      <c r="R21" s="15">
        <v>49997</v>
      </c>
      <c r="S21" s="15">
        <v>51674</v>
      </c>
      <c r="T21" s="15">
        <v>54689</v>
      </c>
      <c r="U21" s="15">
        <v>50941</v>
      </c>
      <c r="V21" s="15">
        <v>49265</v>
      </c>
      <c r="W21" s="15">
        <v>51692</v>
      </c>
      <c r="X21" s="15"/>
      <c r="Y21" s="15"/>
      <c r="Z21" s="15"/>
      <c r="AA21" s="15"/>
    </row>
    <row r="22" spans="1:27" ht="9" customHeight="1">
      <c r="E22" s="2" t="s">
        <v>35</v>
      </c>
      <c r="F22" s="93"/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9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>
      <c r="B23" s="2" t="s">
        <v>60</v>
      </c>
      <c r="F23" s="93">
        <v>109560</v>
      </c>
      <c r="M23" s="93">
        <v>109316</v>
      </c>
      <c r="N23" s="15">
        <v>109989</v>
      </c>
      <c r="O23" s="15">
        <v>35188</v>
      </c>
      <c r="P23" s="15">
        <v>36239</v>
      </c>
      <c r="Q23" s="15">
        <v>34361</v>
      </c>
      <c r="R23" s="15">
        <v>35824</v>
      </c>
      <c r="S23" s="15">
        <v>36562</v>
      </c>
      <c r="T23" s="15">
        <v>37867</v>
      </c>
      <c r="U23" s="15">
        <v>34997</v>
      </c>
      <c r="V23" s="15">
        <v>34060</v>
      </c>
      <c r="W23" s="15">
        <v>31277</v>
      </c>
      <c r="X23" s="15"/>
      <c r="Y23" s="15"/>
      <c r="Z23" s="15"/>
      <c r="AA23" s="15"/>
    </row>
    <row r="24" spans="1:27" ht="9" customHeight="1">
      <c r="F24" s="93" t="s">
        <v>35</v>
      </c>
      <c r="M24" s="93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>
      <c r="B25" s="2" t="s">
        <v>102</v>
      </c>
      <c r="F25" s="93">
        <v>80309</v>
      </c>
      <c r="M25" s="93">
        <v>80094</v>
      </c>
      <c r="N25" s="15">
        <v>80833</v>
      </c>
      <c r="O25" s="15">
        <v>83596</v>
      </c>
      <c r="P25" s="15">
        <v>85842</v>
      </c>
      <c r="Q25" s="15">
        <v>86406</v>
      </c>
      <c r="R25" s="15">
        <v>88046</v>
      </c>
      <c r="S25" s="15">
        <v>89123</v>
      </c>
      <c r="T25" s="15">
        <v>91844</v>
      </c>
      <c r="U25" s="15">
        <v>88738</v>
      </c>
      <c r="V25" s="15">
        <v>86051</v>
      </c>
      <c r="W25" s="15">
        <v>84560</v>
      </c>
      <c r="X25" s="15"/>
      <c r="Y25" s="15"/>
      <c r="Z25" s="15"/>
      <c r="AA25" s="15"/>
    </row>
    <row r="26" spans="1:27" hidden="1">
      <c r="D26" s="2" t="s">
        <v>9</v>
      </c>
      <c r="F26" s="93">
        <v>302</v>
      </c>
      <c r="M26" s="93">
        <v>301</v>
      </c>
      <c r="N26" s="15">
        <v>304</v>
      </c>
      <c r="O26" s="15">
        <v>315</v>
      </c>
      <c r="P26" s="15">
        <v>323</v>
      </c>
      <c r="Q26" s="15">
        <v>325</v>
      </c>
      <c r="R26" s="15">
        <v>4150</v>
      </c>
      <c r="S26" s="15">
        <v>4202</v>
      </c>
      <c r="T26" s="15">
        <v>4467</v>
      </c>
      <c r="U26" s="15">
        <v>4320</v>
      </c>
      <c r="V26" s="15">
        <v>4189</v>
      </c>
      <c r="W26" s="15">
        <v>4150</v>
      </c>
      <c r="X26" s="15"/>
      <c r="Y26" s="15"/>
      <c r="Z26" s="15"/>
      <c r="AA26" s="15"/>
    </row>
    <row r="27" spans="1:27" hidden="1">
      <c r="D27" s="2" t="s">
        <v>114</v>
      </c>
      <c r="F27" s="93">
        <v>29138</v>
      </c>
      <c r="G27" s="14"/>
      <c r="H27" s="14"/>
      <c r="I27" s="14"/>
      <c r="J27" s="14"/>
      <c r="K27" s="14"/>
      <c r="L27" s="14"/>
      <c r="M27" s="93">
        <v>29060</v>
      </c>
      <c r="N27" s="15">
        <v>29328</v>
      </c>
      <c r="O27" s="15">
        <v>30331</v>
      </c>
      <c r="P27" s="15">
        <v>31146</v>
      </c>
      <c r="Q27" s="15">
        <v>31350</v>
      </c>
      <c r="R27" s="15">
        <v>31836</v>
      </c>
      <c r="S27" s="15">
        <v>32236</v>
      </c>
      <c r="T27" s="15">
        <v>34271</v>
      </c>
      <c r="U27" s="15">
        <v>33142</v>
      </c>
      <c r="V27" s="15">
        <v>32139</v>
      </c>
      <c r="W27" s="15">
        <v>43353</v>
      </c>
      <c r="X27" s="14"/>
      <c r="Y27" s="14"/>
      <c r="Z27" s="14"/>
      <c r="AA27" s="14"/>
    </row>
    <row r="28" spans="1:27" hidden="1">
      <c r="D28" s="2" t="s">
        <v>115</v>
      </c>
      <c r="F28" s="93">
        <v>4727</v>
      </c>
      <c r="M28" s="93">
        <v>4715</v>
      </c>
      <c r="N28" s="15">
        <v>4758</v>
      </c>
      <c r="O28" s="15">
        <v>4921</v>
      </c>
      <c r="P28" s="15">
        <v>5053</v>
      </c>
      <c r="Q28" s="15">
        <v>5086</v>
      </c>
      <c r="R28" s="15">
        <v>5165</v>
      </c>
      <c r="S28" s="15">
        <v>5230</v>
      </c>
      <c r="T28" s="15">
        <v>5560</v>
      </c>
      <c r="U28" s="15">
        <v>5377</v>
      </c>
      <c r="V28" s="15">
        <v>5214</v>
      </c>
      <c r="W28" s="15">
        <v>5166</v>
      </c>
      <c r="X28" s="15"/>
      <c r="Y28" s="15"/>
      <c r="Z28" s="15"/>
      <c r="AA28" s="15"/>
    </row>
    <row r="29" spans="1:27" hidden="1">
      <c r="D29" s="2" t="s">
        <v>116</v>
      </c>
      <c r="F29" s="93">
        <v>46142</v>
      </c>
      <c r="M29" s="93">
        <v>46018</v>
      </c>
      <c r="N29" s="15">
        <v>46442</v>
      </c>
      <c r="O29" s="15">
        <v>48030</v>
      </c>
      <c r="P29" s="15">
        <v>49320</v>
      </c>
      <c r="Q29" s="15">
        <v>49644</v>
      </c>
      <c r="R29" s="15">
        <v>46895</v>
      </c>
      <c r="S29" s="15">
        <v>47455</v>
      </c>
      <c r="T29" s="15">
        <v>47546</v>
      </c>
      <c r="U29" s="15">
        <v>45899</v>
      </c>
      <c r="V29" s="15">
        <v>44509</v>
      </c>
      <c r="W29" s="15">
        <v>44097</v>
      </c>
      <c r="X29" s="15"/>
      <c r="Y29" s="15"/>
      <c r="Z29" s="15"/>
      <c r="AA29" s="15"/>
    </row>
    <row r="30" spans="1:27" ht="9" customHeight="1">
      <c r="F30" s="93"/>
      <c r="M30" s="93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9" customHeight="1">
      <c r="C31" s="2" t="s">
        <v>35</v>
      </c>
      <c r="D31" s="2" t="s">
        <v>43</v>
      </c>
      <c r="F31" s="93"/>
      <c r="M31" s="93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3" spans="1:27">
      <c r="F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>
      <c r="A34" s="9"/>
      <c r="B34" s="9"/>
      <c r="C34" s="9"/>
      <c r="D34" s="9"/>
      <c r="E34" s="9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>
      <c r="A35" s="11" t="s">
        <v>117</v>
      </c>
      <c r="B35" s="11"/>
      <c r="C35" s="11"/>
      <c r="D35" s="11"/>
      <c r="E35" s="11"/>
      <c r="F35" s="11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>
      <c r="A36" s="11" t="s">
        <v>121</v>
      </c>
      <c r="B36" s="11"/>
      <c r="C36" s="11"/>
      <c r="D36" s="11"/>
      <c r="E36" s="11"/>
      <c r="F36" s="11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>
      <c r="A37" s="48" t="s">
        <v>119</v>
      </c>
      <c r="B37" s="11"/>
      <c r="C37" s="11"/>
      <c r="D37" s="11"/>
      <c r="E37" s="11"/>
      <c r="F37" s="11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>
      <c r="D45" s="1"/>
      <c r="E45" s="1"/>
      <c r="F45" s="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>
      <c r="F46" s="11"/>
    </row>
    <row r="47" spans="1:27">
      <c r="A47" s="11" t="s">
        <v>35</v>
      </c>
      <c r="F47" s="11"/>
    </row>
    <row r="48" spans="1:27">
      <c r="F48" s="11"/>
    </row>
    <row r="55" spans="13:27"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</row>
    <row r="56" spans="13:27"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3:27"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3:27"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3:27"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</sheetData>
  <mergeCells count="1">
    <mergeCell ref="A5:E5"/>
  </mergeCells>
  <pageMargins left="0.70866141732283472" right="0" top="0.94488188976377963" bottom="0" header="0" footer="0"/>
  <pageSetup paperSize="9" scale="70" orientation="portrait" blackAndWhite="1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DFFF-BD87-4CEE-A546-B82773B8B573}">
  <sheetPr codeName="Sheet32">
    <pageSetUpPr fitToPage="1"/>
  </sheetPr>
  <dimension ref="A1:R43"/>
  <sheetViews>
    <sheetView workbookViewId="0">
      <selection activeCell="V9" sqref="V9"/>
    </sheetView>
  </sheetViews>
  <sheetFormatPr defaultRowHeight="16.5"/>
  <cols>
    <col min="1" max="2" width="1.7109375" style="2" customWidth="1"/>
    <col min="3" max="3" width="2" style="2" customWidth="1"/>
    <col min="4" max="4" width="1.85546875" style="2" customWidth="1"/>
    <col min="5" max="5" width="1.7109375" style="2" customWidth="1"/>
    <col min="6" max="6" width="17.140625" style="2" customWidth="1"/>
    <col min="7" max="7" width="9.5703125" style="2" customWidth="1"/>
    <col min="8" max="256" width="9.140625" style="2"/>
    <col min="257" max="258" width="1.7109375" style="2" customWidth="1"/>
    <col min="259" max="259" width="2" style="2" customWidth="1"/>
    <col min="260" max="260" width="1.85546875" style="2" customWidth="1"/>
    <col min="261" max="261" width="1.7109375" style="2" customWidth="1"/>
    <col min="262" max="262" width="17.140625" style="2" customWidth="1"/>
    <col min="263" max="263" width="9.5703125" style="2" customWidth="1"/>
    <col min="264" max="512" width="9.140625" style="2"/>
    <col min="513" max="514" width="1.7109375" style="2" customWidth="1"/>
    <col min="515" max="515" width="2" style="2" customWidth="1"/>
    <col min="516" max="516" width="1.85546875" style="2" customWidth="1"/>
    <col min="517" max="517" width="1.7109375" style="2" customWidth="1"/>
    <col min="518" max="518" width="17.140625" style="2" customWidth="1"/>
    <col min="519" max="519" width="9.5703125" style="2" customWidth="1"/>
    <col min="520" max="768" width="9.140625" style="2"/>
    <col min="769" max="770" width="1.7109375" style="2" customWidth="1"/>
    <col min="771" max="771" width="2" style="2" customWidth="1"/>
    <col min="772" max="772" width="1.85546875" style="2" customWidth="1"/>
    <col min="773" max="773" width="1.7109375" style="2" customWidth="1"/>
    <col min="774" max="774" width="17.140625" style="2" customWidth="1"/>
    <col min="775" max="775" width="9.5703125" style="2" customWidth="1"/>
    <col min="776" max="1024" width="9.140625" style="2"/>
    <col min="1025" max="1026" width="1.7109375" style="2" customWidth="1"/>
    <col min="1027" max="1027" width="2" style="2" customWidth="1"/>
    <col min="1028" max="1028" width="1.85546875" style="2" customWidth="1"/>
    <col min="1029" max="1029" width="1.7109375" style="2" customWidth="1"/>
    <col min="1030" max="1030" width="17.140625" style="2" customWidth="1"/>
    <col min="1031" max="1031" width="9.5703125" style="2" customWidth="1"/>
    <col min="1032" max="1280" width="9.140625" style="2"/>
    <col min="1281" max="1282" width="1.7109375" style="2" customWidth="1"/>
    <col min="1283" max="1283" width="2" style="2" customWidth="1"/>
    <col min="1284" max="1284" width="1.85546875" style="2" customWidth="1"/>
    <col min="1285" max="1285" width="1.7109375" style="2" customWidth="1"/>
    <col min="1286" max="1286" width="17.140625" style="2" customWidth="1"/>
    <col min="1287" max="1287" width="9.5703125" style="2" customWidth="1"/>
    <col min="1288" max="1536" width="9.140625" style="2"/>
    <col min="1537" max="1538" width="1.7109375" style="2" customWidth="1"/>
    <col min="1539" max="1539" width="2" style="2" customWidth="1"/>
    <col min="1540" max="1540" width="1.85546875" style="2" customWidth="1"/>
    <col min="1541" max="1541" width="1.7109375" style="2" customWidth="1"/>
    <col min="1542" max="1542" width="17.140625" style="2" customWidth="1"/>
    <col min="1543" max="1543" width="9.5703125" style="2" customWidth="1"/>
    <col min="1544" max="1792" width="9.140625" style="2"/>
    <col min="1793" max="1794" width="1.7109375" style="2" customWidth="1"/>
    <col min="1795" max="1795" width="2" style="2" customWidth="1"/>
    <col min="1796" max="1796" width="1.85546875" style="2" customWidth="1"/>
    <col min="1797" max="1797" width="1.7109375" style="2" customWidth="1"/>
    <col min="1798" max="1798" width="17.140625" style="2" customWidth="1"/>
    <col min="1799" max="1799" width="9.5703125" style="2" customWidth="1"/>
    <col min="1800" max="2048" width="9.140625" style="2"/>
    <col min="2049" max="2050" width="1.7109375" style="2" customWidth="1"/>
    <col min="2051" max="2051" width="2" style="2" customWidth="1"/>
    <col min="2052" max="2052" width="1.85546875" style="2" customWidth="1"/>
    <col min="2053" max="2053" width="1.7109375" style="2" customWidth="1"/>
    <col min="2054" max="2054" width="17.140625" style="2" customWidth="1"/>
    <col min="2055" max="2055" width="9.5703125" style="2" customWidth="1"/>
    <col min="2056" max="2304" width="9.140625" style="2"/>
    <col min="2305" max="2306" width="1.7109375" style="2" customWidth="1"/>
    <col min="2307" max="2307" width="2" style="2" customWidth="1"/>
    <col min="2308" max="2308" width="1.85546875" style="2" customWidth="1"/>
    <col min="2309" max="2309" width="1.7109375" style="2" customWidth="1"/>
    <col min="2310" max="2310" width="17.140625" style="2" customWidth="1"/>
    <col min="2311" max="2311" width="9.5703125" style="2" customWidth="1"/>
    <col min="2312" max="2560" width="9.140625" style="2"/>
    <col min="2561" max="2562" width="1.7109375" style="2" customWidth="1"/>
    <col min="2563" max="2563" width="2" style="2" customWidth="1"/>
    <col min="2564" max="2564" width="1.85546875" style="2" customWidth="1"/>
    <col min="2565" max="2565" width="1.7109375" style="2" customWidth="1"/>
    <col min="2566" max="2566" width="17.140625" style="2" customWidth="1"/>
    <col min="2567" max="2567" width="9.5703125" style="2" customWidth="1"/>
    <col min="2568" max="2816" width="9.140625" style="2"/>
    <col min="2817" max="2818" width="1.7109375" style="2" customWidth="1"/>
    <col min="2819" max="2819" width="2" style="2" customWidth="1"/>
    <col min="2820" max="2820" width="1.85546875" style="2" customWidth="1"/>
    <col min="2821" max="2821" width="1.7109375" style="2" customWidth="1"/>
    <col min="2822" max="2822" width="17.140625" style="2" customWidth="1"/>
    <col min="2823" max="2823" width="9.5703125" style="2" customWidth="1"/>
    <col min="2824" max="3072" width="9.140625" style="2"/>
    <col min="3073" max="3074" width="1.7109375" style="2" customWidth="1"/>
    <col min="3075" max="3075" width="2" style="2" customWidth="1"/>
    <col min="3076" max="3076" width="1.85546875" style="2" customWidth="1"/>
    <col min="3077" max="3077" width="1.7109375" style="2" customWidth="1"/>
    <col min="3078" max="3078" width="17.140625" style="2" customWidth="1"/>
    <col min="3079" max="3079" width="9.5703125" style="2" customWidth="1"/>
    <col min="3080" max="3328" width="9.140625" style="2"/>
    <col min="3329" max="3330" width="1.7109375" style="2" customWidth="1"/>
    <col min="3331" max="3331" width="2" style="2" customWidth="1"/>
    <col min="3332" max="3332" width="1.85546875" style="2" customWidth="1"/>
    <col min="3333" max="3333" width="1.7109375" style="2" customWidth="1"/>
    <col min="3334" max="3334" width="17.140625" style="2" customWidth="1"/>
    <col min="3335" max="3335" width="9.5703125" style="2" customWidth="1"/>
    <col min="3336" max="3584" width="9.140625" style="2"/>
    <col min="3585" max="3586" width="1.7109375" style="2" customWidth="1"/>
    <col min="3587" max="3587" width="2" style="2" customWidth="1"/>
    <col min="3588" max="3588" width="1.85546875" style="2" customWidth="1"/>
    <col min="3589" max="3589" width="1.7109375" style="2" customWidth="1"/>
    <col min="3590" max="3590" width="17.140625" style="2" customWidth="1"/>
    <col min="3591" max="3591" width="9.5703125" style="2" customWidth="1"/>
    <col min="3592" max="3840" width="9.140625" style="2"/>
    <col min="3841" max="3842" width="1.7109375" style="2" customWidth="1"/>
    <col min="3843" max="3843" width="2" style="2" customWidth="1"/>
    <col min="3844" max="3844" width="1.85546875" style="2" customWidth="1"/>
    <col min="3845" max="3845" width="1.7109375" style="2" customWidth="1"/>
    <col min="3846" max="3846" width="17.140625" style="2" customWidth="1"/>
    <col min="3847" max="3847" width="9.5703125" style="2" customWidth="1"/>
    <col min="3848" max="4096" width="9.140625" style="2"/>
    <col min="4097" max="4098" width="1.7109375" style="2" customWidth="1"/>
    <col min="4099" max="4099" width="2" style="2" customWidth="1"/>
    <col min="4100" max="4100" width="1.85546875" style="2" customWidth="1"/>
    <col min="4101" max="4101" width="1.7109375" style="2" customWidth="1"/>
    <col min="4102" max="4102" width="17.140625" style="2" customWidth="1"/>
    <col min="4103" max="4103" width="9.5703125" style="2" customWidth="1"/>
    <col min="4104" max="4352" width="9.140625" style="2"/>
    <col min="4353" max="4354" width="1.7109375" style="2" customWidth="1"/>
    <col min="4355" max="4355" width="2" style="2" customWidth="1"/>
    <col min="4356" max="4356" width="1.85546875" style="2" customWidth="1"/>
    <col min="4357" max="4357" width="1.7109375" style="2" customWidth="1"/>
    <col min="4358" max="4358" width="17.140625" style="2" customWidth="1"/>
    <col min="4359" max="4359" width="9.5703125" style="2" customWidth="1"/>
    <col min="4360" max="4608" width="9.140625" style="2"/>
    <col min="4609" max="4610" width="1.7109375" style="2" customWidth="1"/>
    <col min="4611" max="4611" width="2" style="2" customWidth="1"/>
    <col min="4612" max="4612" width="1.85546875" style="2" customWidth="1"/>
    <col min="4613" max="4613" width="1.7109375" style="2" customWidth="1"/>
    <col min="4614" max="4614" width="17.140625" style="2" customWidth="1"/>
    <col min="4615" max="4615" width="9.5703125" style="2" customWidth="1"/>
    <col min="4616" max="4864" width="9.140625" style="2"/>
    <col min="4865" max="4866" width="1.7109375" style="2" customWidth="1"/>
    <col min="4867" max="4867" width="2" style="2" customWidth="1"/>
    <col min="4868" max="4868" width="1.85546875" style="2" customWidth="1"/>
    <col min="4869" max="4869" width="1.7109375" style="2" customWidth="1"/>
    <col min="4870" max="4870" width="17.140625" style="2" customWidth="1"/>
    <col min="4871" max="4871" width="9.5703125" style="2" customWidth="1"/>
    <col min="4872" max="5120" width="9.140625" style="2"/>
    <col min="5121" max="5122" width="1.7109375" style="2" customWidth="1"/>
    <col min="5123" max="5123" width="2" style="2" customWidth="1"/>
    <col min="5124" max="5124" width="1.85546875" style="2" customWidth="1"/>
    <col min="5125" max="5125" width="1.7109375" style="2" customWidth="1"/>
    <col min="5126" max="5126" width="17.140625" style="2" customWidth="1"/>
    <col min="5127" max="5127" width="9.5703125" style="2" customWidth="1"/>
    <col min="5128" max="5376" width="9.140625" style="2"/>
    <col min="5377" max="5378" width="1.7109375" style="2" customWidth="1"/>
    <col min="5379" max="5379" width="2" style="2" customWidth="1"/>
    <col min="5380" max="5380" width="1.85546875" style="2" customWidth="1"/>
    <col min="5381" max="5381" width="1.7109375" style="2" customWidth="1"/>
    <col min="5382" max="5382" width="17.140625" style="2" customWidth="1"/>
    <col min="5383" max="5383" width="9.5703125" style="2" customWidth="1"/>
    <col min="5384" max="5632" width="9.140625" style="2"/>
    <col min="5633" max="5634" width="1.7109375" style="2" customWidth="1"/>
    <col min="5635" max="5635" width="2" style="2" customWidth="1"/>
    <col min="5636" max="5636" width="1.85546875" style="2" customWidth="1"/>
    <col min="5637" max="5637" width="1.7109375" style="2" customWidth="1"/>
    <col min="5638" max="5638" width="17.140625" style="2" customWidth="1"/>
    <col min="5639" max="5639" width="9.5703125" style="2" customWidth="1"/>
    <col min="5640" max="5888" width="9.140625" style="2"/>
    <col min="5889" max="5890" width="1.7109375" style="2" customWidth="1"/>
    <col min="5891" max="5891" width="2" style="2" customWidth="1"/>
    <col min="5892" max="5892" width="1.85546875" style="2" customWidth="1"/>
    <col min="5893" max="5893" width="1.7109375" style="2" customWidth="1"/>
    <col min="5894" max="5894" width="17.140625" style="2" customWidth="1"/>
    <col min="5895" max="5895" width="9.5703125" style="2" customWidth="1"/>
    <col min="5896" max="6144" width="9.140625" style="2"/>
    <col min="6145" max="6146" width="1.7109375" style="2" customWidth="1"/>
    <col min="6147" max="6147" width="2" style="2" customWidth="1"/>
    <col min="6148" max="6148" width="1.85546875" style="2" customWidth="1"/>
    <col min="6149" max="6149" width="1.7109375" style="2" customWidth="1"/>
    <col min="6150" max="6150" width="17.140625" style="2" customWidth="1"/>
    <col min="6151" max="6151" width="9.5703125" style="2" customWidth="1"/>
    <col min="6152" max="6400" width="9.140625" style="2"/>
    <col min="6401" max="6402" width="1.7109375" style="2" customWidth="1"/>
    <col min="6403" max="6403" width="2" style="2" customWidth="1"/>
    <col min="6404" max="6404" width="1.85546875" style="2" customWidth="1"/>
    <col min="6405" max="6405" width="1.7109375" style="2" customWidth="1"/>
    <col min="6406" max="6406" width="17.140625" style="2" customWidth="1"/>
    <col min="6407" max="6407" width="9.5703125" style="2" customWidth="1"/>
    <col min="6408" max="6656" width="9.140625" style="2"/>
    <col min="6657" max="6658" width="1.7109375" style="2" customWidth="1"/>
    <col min="6659" max="6659" width="2" style="2" customWidth="1"/>
    <col min="6660" max="6660" width="1.85546875" style="2" customWidth="1"/>
    <col min="6661" max="6661" width="1.7109375" style="2" customWidth="1"/>
    <col min="6662" max="6662" width="17.140625" style="2" customWidth="1"/>
    <col min="6663" max="6663" width="9.5703125" style="2" customWidth="1"/>
    <col min="6664" max="6912" width="9.140625" style="2"/>
    <col min="6913" max="6914" width="1.7109375" style="2" customWidth="1"/>
    <col min="6915" max="6915" width="2" style="2" customWidth="1"/>
    <col min="6916" max="6916" width="1.85546875" style="2" customWidth="1"/>
    <col min="6917" max="6917" width="1.7109375" style="2" customWidth="1"/>
    <col min="6918" max="6918" width="17.140625" style="2" customWidth="1"/>
    <col min="6919" max="6919" width="9.5703125" style="2" customWidth="1"/>
    <col min="6920" max="7168" width="9.140625" style="2"/>
    <col min="7169" max="7170" width="1.7109375" style="2" customWidth="1"/>
    <col min="7171" max="7171" width="2" style="2" customWidth="1"/>
    <col min="7172" max="7172" width="1.85546875" style="2" customWidth="1"/>
    <col min="7173" max="7173" width="1.7109375" style="2" customWidth="1"/>
    <col min="7174" max="7174" width="17.140625" style="2" customWidth="1"/>
    <col min="7175" max="7175" width="9.5703125" style="2" customWidth="1"/>
    <col min="7176" max="7424" width="9.140625" style="2"/>
    <col min="7425" max="7426" width="1.7109375" style="2" customWidth="1"/>
    <col min="7427" max="7427" width="2" style="2" customWidth="1"/>
    <col min="7428" max="7428" width="1.85546875" style="2" customWidth="1"/>
    <col min="7429" max="7429" width="1.7109375" style="2" customWidth="1"/>
    <col min="7430" max="7430" width="17.140625" style="2" customWidth="1"/>
    <col min="7431" max="7431" width="9.5703125" style="2" customWidth="1"/>
    <col min="7432" max="7680" width="9.140625" style="2"/>
    <col min="7681" max="7682" width="1.7109375" style="2" customWidth="1"/>
    <col min="7683" max="7683" width="2" style="2" customWidth="1"/>
    <col min="7684" max="7684" width="1.85546875" style="2" customWidth="1"/>
    <col min="7685" max="7685" width="1.7109375" style="2" customWidth="1"/>
    <col min="7686" max="7686" width="17.140625" style="2" customWidth="1"/>
    <col min="7687" max="7687" width="9.5703125" style="2" customWidth="1"/>
    <col min="7688" max="7936" width="9.140625" style="2"/>
    <col min="7937" max="7938" width="1.7109375" style="2" customWidth="1"/>
    <col min="7939" max="7939" width="2" style="2" customWidth="1"/>
    <col min="7940" max="7940" width="1.85546875" style="2" customWidth="1"/>
    <col min="7941" max="7941" width="1.7109375" style="2" customWidth="1"/>
    <col min="7942" max="7942" width="17.140625" style="2" customWidth="1"/>
    <col min="7943" max="7943" width="9.5703125" style="2" customWidth="1"/>
    <col min="7944" max="8192" width="9.140625" style="2"/>
    <col min="8193" max="8194" width="1.7109375" style="2" customWidth="1"/>
    <col min="8195" max="8195" width="2" style="2" customWidth="1"/>
    <col min="8196" max="8196" width="1.85546875" style="2" customWidth="1"/>
    <col min="8197" max="8197" width="1.7109375" style="2" customWidth="1"/>
    <col min="8198" max="8198" width="17.140625" style="2" customWidth="1"/>
    <col min="8199" max="8199" width="9.5703125" style="2" customWidth="1"/>
    <col min="8200" max="8448" width="9.140625" style="2"/>
    <col min="8449" max="8450" width="1.7109375" style="2" customWidth="1"/>
    <col min="8451" max="8451" width="2" style="2" customWidth="1"/>
    <col min="8452" max="8452" width="1.85546875" style="2" customWidth="1"/>
    <col min="8453" max="8453" width="1.7109375" style="2" customWidth="1"/>
    <col min="8454" max="8454" width="17.140625" style="2" customWidth="1"/>
    <col min="8455" max="8455" width="9.5703125" style="2" customWidth="1"/>
    <col min="8456" max="8704" width="9.140625" style="2"/>
    <col min="8705" max="8706" width="1.7109375" style="2" customWidth="1"/>
    <col min="8707" max="8707" width="2" style="2" customWidth="1"/>
    <col min="8708" max="8708" width="1.85546875" style="2" customWidth="1"/>
    <col min="8709" max="8709" width="1.7109375" style="2" customWidth="1"/>
    <col min="8710" max="8710" width="17.140625" style="2" customWidth="1"/>
    <col min="8711" max="8711" width="9.5703125" style="2" customWidth="1"/>
    <col min="8712" max="8960" width="9.140625" style="2"/>
    <col min="8961" max="8962" width="1.7109375" style="2" customWidth="1"/>
    <col min="8963" max="8963" width="2" style="2" customWidth="1"/>
    <col min="8964" max="8964" width="1.85546875" style="2" customWidth="1"/>
    <col min="8965" max="8965" width="1.7109375" style="2" customWidth="1"/>
    <col min="8966" max="8966" width="17.140625" style="2" customWidth="1"/>
    <col min="8967" max="8967" width="9.5703125" style="2" customWidth="1"/>
    <col min="8968" max="9216" width="9.140625" style="2"/>
    <col min="9217" max="9218" width="1.7109375" style="2" customWidth="1"/>
    <col min="9219" max="9219" width="2" style="2" customWidth="1"/>
    <col min="9220" max="9220" width="1.85546875" style="2" customWidth="1"/>
    <col min="9221" max="9221" width="1.7109375" style="2" customWidth="1"/>
    <col min="9222" max="9222" width="17.140625" style="2" customWidth="1"/>
    <col min="9223" max="9223" width="9.5703125" style="2" customWidth="1"/>
    <col min="9224" max="9472" width="9.140625" style="2"/>
    <col min="9473" max="9474" width="1.7109375" style="2" customWidth="1"/>
    <col min="9475" max="9475" width="2" style="2" customWidth="1"/>
    <col min="9476" max="9476" width="1.85546875" style="2" customWidth="1"/>
    <col min="9477" max="9477" width="1.7109375" style="2" customWidth="1"/>
    <col min="9478" max="9478" width="17.140625" style="2" customWidth="1"/>
    <col min="9479" max="9479" width="9.5703125" style="2" customWidth="1"/>
    <col min="9480" max="9728" width="9.140625" style="2"/>
    <col min="9729" max="9730" width="1.7109375" style="2" customWidth="1"/>
    <col min="9731" max="9731" width="2" style="2" customWidth="1"/>
    <col min="9732" max="9732" width="1.85546875" style="2" customWidth="1"/>
    <col min="9733" max="9733" width="1.7109375" style="2" customWidth="1"/>
    <col min="9734" max="9734" width="17.140625" style="2" customWidth="1"/>
    <col min="9735" max="9735" width="9.5703125" style="2" customWidth="1"/>
    <col min="9736" max="9984" width="9.140625" style="2"/>
    <col min="9985" max="9986" width="1.7109375" style="2" customWidth="1"/>
    <col min="9987" max="9987" width="2" style="2" customWidth="1"/>
    <col min="9988" max="9988" width="1.85546875" style="2" customWidth="1"/>
    <col min="9989" max="9989" width="1.7109375" style="2" customWidth="1"/>
    <col min="9990" max="9990" width="17.140625" style="2" customWidth="1"/>
    <col min="9991" max="9991" width="9.5703125" style="2" customWidth="1"/>
    <col min="9992" max="10240" width="9.140625" style="2"/>
    <col min="10241" max="10242" width="1.7109375" style="2" customWidth="1"/>
    <col min="10243" max="10243" width="2" style="2" customWidth="1"/>
    <col min="10244" max="10244" width="1.85546875" style="2" customWidth="1"/>
    <col min="10245" max="10245" width="1.7109375" style="2" customWidth="1"/>
    <col min="10246" max="10246" width="17.140625" style="2" customWidth="1"/>
    <col min="10247" max="10247" width="9.5703125" style="2" customWidth="1"/>
    <col min="10248" max="10496" width="9.140625" style="2"/>
    <col min="10497" max="10498" width="1.7109375" style="2" customWidth="1"/>
    <col min="10499" max="10499" width="2" style="2" customWidth="1"/>
    <col min="10500" max="10500" width="1.85546875" style="2" customWidth="1"/>
    <col min="10501" max="10501" width="1.7109375" style="2" customWidth="1"/>
    <col min="10502" max="10502" width="17.140625" style="2" customWidth="1"/>
    <col min="10503" max="10503" width="9.5703125" style="2" customWidth="1"/>
    <col min="10504" max="10752" width="9.140625" style="2"/>
    <col min="10753" max="10754" width="1.7109375" style="2" customWidth="1"/>
    <col min="10755" max="10755" width="2" style="2" customWidth="1"/>
    <col min="10756" max="10756" width="1.85546875" style="2" customWidth="1"/>
    <col min="10757" max="10757" width="1.7109375" style="2" customWidth="1"/>
    <col min="10758" max="10758" width="17.140625" style="2" customWidth="1"/>
    <col min="10759" max="10759" width="9.5703125" style="2" customWidth="1"/>
    <col min="10760" max="11008" width="9.140625" style="2"/>
    <col min="11009" max="11010" width="1.7109375" style="2" customWidth="1"/>
    <col min="11011" max="11011" width="2" style="2" customWidth="1"/>
    <col min="11012" max="11012" width="1.85546875" style="2" customWidth="1"/>
    <col min="11013" max="11013" width="1.7109375" style="2" customWidth="1"/>
    <col min="11014" max="11014" width="17.140625" style="2" customWidth="1"/>
    <col min="11015" max="11015" width="9.5703125" style="2" customWidth="1"/>
    <col min="11016" max="11264" width="9.140625" style="2"/>
    <col min="11265" max="11266" width="1.7109375" style="2" customWidth="1"/>
    <col min="11267" max="11267" width="2" style="2" customWidth="1"/>
    <col min="11268" max="11268" width="1.85546875" style="2" customWidth="1"/>
    <col min="11269" max="11269" width="1.7109375" style="2" customWidth="1"/>
    <col min="11270" max="11270" width="17.140625" style="2" customWidth="1"/>
    <col min="11271" max="11271" width="9.5703125" style="2" customWidth="1"/>
    <col min="11272" max="11520" width="9.140625" style="2"/>
    <col min="11521" max="11522" width="1.7109375" style="2" customWidth="1"/>
    <col min="11523" max="11523" width="2" style="2" customWidth="1"/>
    <col min="11524" max="11524" width="1.85546875" style="2" customWidth="1"/>
    <col min="11525" max="11525" width="1.7109375" style="2" customWidth="1"/>
    <col min="11526" max="11526" width="17.140625" style="2" customWidth="1"/>
    <col min="11527" max="11527" width="9.5703125" style="2" customWidth="1"/>
    <col min="11528" max="11776" width="9.140625" style="2"/>
    <col min="11777" max="11778" width="1.7109375" style="2" customWidth="1"/>
    <col min="11779" max="11779" width="2" style="2" customWidth="1"/>
    <col min="11780" max="11780" width="1.85546875" style="2" customWidth="1"/>
    <col min="11781" max="11781" width="1.7109375" style="2" customWidth="1"/>
    <col min="11782" max="11782" width="17.140625" style="2" customWidth="1"/>
    <col min="11783" max="11783" width="9.5703125" style="2" customWidth="1"/>
    <col min="11784" max="12032" width="9.140625" style="2"/>
    <col min="12033" max="12034" width="1.7109375" style="2" customWidth="1"/>
    <col min="12035" max="12035" width="2" style="2" customWidth="1"/>
    <col min="12036" max="12036" width="1.85546875" style="2" customWidth="1"/>
    <col min="12037" max="12037" width="1.7109375" style="2" customWidth="1"/>
    <col min="12038" max="12038" width="17.140625" style="2" customWidth="1"/>
    <col min="12039" max="12039" width="9.5703125" style="2" customWidth="1"/>
    <col min="12040" max="12288" width="9.140625" style="2"/>
    <col min="12289" max="12290" width="1.7109375" style="2" customWidth="1"/>
    <col min="12291" max="12291" width="2" style="2" customWidth="1"/>
    <col min="12292" max="12292" width="1.85546875" style="2" customWidth="1"/>
    <col min="12293" max="12293" width="1.7109375" style="2" customWidth="1"/>
    <col min="12294" max="12294" width="17.140625" style="2" customWidth="1"/>
    <col min="12295" max="12295" width="9.5703125" style="2" customWidth="1"/>
    <col min="12296" max="12544" width="9.140625" style="2"/>
    <col min="12545" max="12546" width="1.7109375" style="2" customWidth="1"/>
    <col min="12547" max="12547" width="2" style="2" customWidth="1"/>
    <col min="12548" max="12548" width="1.85546875" style="2" customWidth="1"/>
    <col min="12549" max="12549" width="1.7109375" style="2" customWidth="1"/>
    <col min="12550" max="12550" width="17.140625" style="2" customWidth="1"/>
    <col min="12551" max="12551" width="9.5703125" style="2" customWidth="1"/>
    <col min="12552" max="12800" width="9.140625" style="2"/>
    <col min="12801" max="12802" width="1.7109375" style="2" customWidth="1"/>
    <col min="12803" max="12803" width="2" style="2" customWidth="1"/>
    <col min="12804" max="12804" width="1.85546875" style="2" customWidth="1"/>
    <col min="12805" max="12805" width="1.7109375" style="2" customWidth="1"/>
    <col min="12806" max="12806" width="17.140625" style="2" customWidth="1"/>
    <col min="12807" max="12807" width="9.5703125" style="2" customWidth="1"/>
    <col min="12808" max="13056" width="9.140625" style="2"/>
    <col min="13057" max="13058" width="1.7109375" style="2" customWidth="1"/>
    <col min="13059" max="13059" width="2" style="2" customWidth="1"/>
    <col min="13060" max="13060" width="1.85546875" style="2" customWidth="1"/>
    <col min="13061" max="13061" width="1.7109375" style="2" customWidth="1"/>
    <col min="13062" max="13062" width="17.140625" style="2" customWidth="1"/>
    <col min="13063" max="13063" width="9.5703125" style="2" customWidth="1"/>
    <col min="13064" max="13312" width="9.140625" style="2"/>
    <col min="13313" max="13314" width="1.7109375" style="2" customWidth="1"/>
    <col min="13315" max="13315" width="2" style="2" customWidth="1"/>
    <col min="13316" max="13316" width="1.85546875" style="2" customWidth="1"/>
    <col min="13317" max="13317" width="1.7109375" style="2" customWidth="1"/>
    <col min="13318" max="13318" width="17.140625" style="2" customWidth="1"/>
    <col min="13319" max="13319" width="9.5703125" style="2" customWidth="1"/>
    <col min="13320" max="13568" width="9.140625" style="2"/>
    <col min="13569" max="13570" width="1.7109375" style="2" customWidth="1"/>
    <col min="13571" max="13571" width="2" style="2" customWidth="1"/>
    <col min="13572" max="13572" width="1.85546875" style="2" customWidth="1"/>
    <col min="13573" max="13573" width="1.7109375" style="2" customWidth="1"/>
    <col min="13574" max="13574" width="17.140625" style="2" customWidth="1"/>
    <col min="13575" max="13575" width="9.5703125" style="2" customWidth="1"/>
    <col min="13576" max="13824" width="9.140625" style="2"/>
    <col min="13825" max="13826" width="1.7109375" style="2" customWidth="1"/>
    <col min="13827" max="13827" width="2" style="2" customWidth="1"/>
    <col min="13828" max="13828" width="1.85546875" style="2" customWidth="1"/>
    <col min="13829" max="13829" width="1.7109375" style="2" customWidth="1"/>
    <col min="13830" max="13830" width="17.140625" style="2" customWidth="1"/>
    <col min="13831" max="13831" width="9.5703125" style="2" customWidth="1"/>
    <col min="13832" max="14080" width="9.140625" style="2"/>
    <col min="14081" max="14082" width="1.7109375" style="2" customWidth="1"/>
    <col min="14083" max="14083" width="2" style="2" customWidth="1"/>
    <col min="14084" max="14084" width="1.85546875" style="2" customWidth="1"/>
    <col min="14085" max="14085" width="1.7109375" style="2" customWidth="1"/>
    <col min="14086" max="14086" width="17.140625" style="2" customWidth="1"/>
    <col min="14087" max="14087" width="9.5703125" style="2" customWidth="1"/>
    <col min="14088" max="14336" width="9.140625" style="2"/>
    <col min="14337" max="14338" width="1.7109375" style="2" customWidth="1"/>
    <col min="14339" max="14339" width="2" style="2" customWidth="1"/>
    <col min="14340" max="14340" width="1.85546875" style="2" customWidth="1"/>
    <col min="14341" max="14341" width="1.7109375" style="2" customWidth="1"/>
    <col min="14342" max="14342" width="17.140625" style="2" customWidth="1"/>
    <col min="14343" max="14343" width="9.5703125" style="2" customWidth="1"/>
    <col min="14344" max="14592" width="9.140625" style="2"/>
    <col min="14593" max="14594" width="1.7109375" style="2" customWidth="1"/>
    <col min="14595" max="14595" width="2" style="2" customWidth="1"/>
    <col min="14596" max="14596" width="1.85546875" style="2" customWidth="1"/>
    <col min="14597" max="14597" width="1.7109375" style="2" customWidth="1"/>
    <col min="14598" max="14598" width="17.140625" style="2" customWidth="1"/>
    <col min="14599" max="14599" width="9.5703125" style="2" customWidth="1"/>
    <col min="14600" max="14848" width="9.140625" style="2"/>
    <col min="14849" max="14850" width="1.7109375" style="2" customWidth="1"/>
    <col min="14851" max="14851" width="2" style="2" customWidth="1"/>
    <col min="14852" max="14852" width="1.85546875" style="2" customWidth="1"/>
    <col min="14853" max="14853" width="1.7109375" style="2" customWidth="1"/>
    <col min="14854" max="14854" width="17.140625" style="2" customWidth="1"/>
    <col min="14855" max="14855" width="9.5703125" style="2" customWidth="1"/>
    <col min="14856" max="15104" width="9.140625" style="2"/>
    <col min="15105" max="15106" width="1.7109375" style="2" customWidth="1"/>
    <col min="15107" max="15107" width="2" style="2" customWidth="1"/>
    <col min="15108" max="15108" width="1.85546875" style="2" customWidth="1"/>
    <col min="15109" max="15109" width="1.7109375" style="2" customWidth="1"/>
    <col min="15110" max="15110" width="17.140625" style="2" customWidth="1"/>
    <col min="15111" max="15111" width="9.5703125" style="2" customWidth="1"/>
    <col min="15112" max="15360" width="9.140625" style="2"/>
    <col min="15361" max="15362" width="1.7109375" style="2" customWidth="1"/>
    <col min="15363" max="15363" width="2" style="2" customWidth="1"/>
    <col min="15364" max="15364" width="1.85546875" style="2" customWidth="1"/>
    <col min="15365" max="15365" width="1.7109375" style="2" customWidth="1"/>
    <col min="15366" max="15366" width="17.140625" style="2" customWidth="1"/>
    <col min="15367" max="15367" width="9.5703125" style="2" customWidth="1"/>
    <col min="15368" max="15616" width="9.140625" style="2"/>
    <col min="15617" max="15618" width="1.7109375" style="2" customWidth="1"/>
    <col min="15619" max="15619" width="2" style="2" customWidth="1"/>
    <col min="15620" max="15620" width="1.85546875" style="2" customWidth="1"/>
    <col min="15621" max="15621" width="1.7109375" style="2" customWidth="1"/>
    <col min="15622" max="15622" width="17.140625" style="2" customWidth="1"/>
    <col min="15623" max="15623" width="9.5703125" style="2" customWidth="1"/>
    <col min="15624" max="15872" width="9.140625" style="2"/>
    <col min="15873" max="15874" width="1.7109375" style="2" customWidth="1"/>
    <col min="15875" max="15875" width="2" style="2" customWidth="1"/>
    <col min="15876" max="15876" width="1.85546875" style="2" customWidth="1"/>
    <col min="15877" max="15877" width="1.7109375" style="2" customWidth="1"/>
    <col min="15878" max="15878" width="17.140625" style="2" customWidth="1"/>
    <col min="15879" max="15879" width="9.5703125" style="2" customWidth="1"/>
    <col min="15880" max="16128" width="9.140625" style="2"/>
    <col min="16129" max="16130" width="1.7109375" style="2" customWidth="1"/>
    <col min="16131" max="16131" width="2" style="2" customWidth="1"/>
    <col min="16132" max="16132" width="1.85546875" style="2" customWidth="1"/>
    <col min="16133" max="16133" width="1.7109375" style="2" customWidth="1"/>
    <col min="16134" max="16134" width="17.140625" style="2" customWidth="1"/>
    <col min="16135" max="16135" width="9.5703125" style="2" customWidth="1"/>
    <col min="16136" max="16384" width="9.140625" style="2"/>
  </cols>
  <sheetData>
    <row r="1" spans="1:18">
      <c r="A1" s="1" t="s">
        <v>138</v>
      </c>
    </row>
    <row r="2" spans="1:18">
      <c r="A2" s="1" t="s">
        <v>120</v>
      </c>
      <c r="F2" s="1" t="s">
        <v>35</v>
      </c>
    </row>
    <row r="3" spans="1:18">
      <c r="A3" s="2" t="s">
        <v>0</v>
      </c>
    </row>
    <row r="5" spans="1:18" s="132" customFormat="1" ht="18" customHeight="1">
      <c r="A5" s="177" t="s">
        <v>1</v>
      </c>
      <c r="B5" s="178"/>
      <c r="C5" s="178"/>
      <c r="D5" s="178"/>
      <c r="E5" s="178"/>
      <c r="F5" s="178"/>
      <c r="G5" s="77" t="s">
        <v>5</v>
      </c>
      <c r="H5" s="77" t="s">
        <v>23</v>
      </c>
      <c r="I5" s="77" t="s">
        <v>24</v>
      </c>
      <c r="J5" s="77" t="s">
        <v>26</v>
      </c>
      <c r="K5" s="77" t="s">
        <v>27</v>
      </c>
      <c r="L5" s="77" t="s">
        <v>36</v>
      </c>
      <c r="M5" s="76" t="s">
        <v>28</v>
      </c>
      <c r="N5" s="76" t="s">
        <v>29</v>
      </c>
      <c r="O5" s="76" t="s">
        <v>39</v>
      </c>
      <c r="P5" s="76" t="s">
        <v>31</v>
      </c>
      <c r="Q5" s="76" t="s">
        <v>32</v>
      </c>
      <c r="R5" s="78" t="s">
        <v>33</v>
      </c>
    </row>
    <row r="6" spans="1:18" ht="9" customHeight="1"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>
      <c r="A7" s="1" t="s">
        <v>17</v>
      </c>
      <c r="B7" s="1"/>
      <c r="C7" s="1"/>
      <c r="D7" s="1"/>
      <c r="E7" s="1"/>
      <c r="F7" s="1"/>
      <c r="G7" s="126">
        <f t="shared" ref="G7:R7" si="0">+G9+G14</f>
        <v>107072</v>
      </c>
      <c r="H7" s="126">
        <f t="shared" si="0"/>
        <v>107318</v>
      </c>
      <c r="I7" s="126">
        <f t="shared" si="0"/>
        <v>110730</v>
      </c>
      <c r="J7" s="126">
        <f t="shared" si="0"/>
        <v>117309</v>
      </c>
      <c r="K7" s="126">
        <f t="shared" si="0"/>
        <v>127632</v>
      </c>
      <c r="L7" s="126">
        <f t="shared" si="0"/>
        <v>134594</v>
      </c>
      <c r="M7" s="126">
        <f t="shared" si="0"/>
        <v>139272</v>
      </c>
      <c r="N7" s="126">
        <f t="shared" si="0"/>
        <v>147145</v>
      </c>
      <c r="O7" s="126">
        <f t="shared" si="0"/>
        <v>156637</v>
      </c>
      <c r="P7" s="126">
        <f t="shared" si="0"/>
        <v>148189</v>
      </c>
      <c r="Q7" s="126">
        <f t="shared" si="0"/>
        <v>143815</v>
      </c>
      <c r="R7" s="126">
        <f t="shared" si="0"/>
        <v>142875</v>
      </c>
    </row>
    <row r="8" spans="1:18" ht="12.75" customHeight="1"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18">
      <c r="A9" s="1" t="s">
        <v>59</v>
      </c>
      <c r="B9" s="1"/>
      <c r="C9" s="1"/>
      <c r="D9" s="1"/>
      <c r="E9" s="1"/>
      <c r="F9" s="1"/>
      <c r="G9" s="13">
        <f t="shared" ref="G9:R9" si="1">+G11+G12</f>
        <v>5023</v>
      </c>
      <c r="H9" s="13">
        <f t="shared" si="1"/>
        <v>5013</v>
      </c>
      <c r="I9" s="13">
        <f t="shared" si="1"/>
        <v>4995</v>
      </c>
      <c r="J9" s="13">
        <f t="shared" si="1"/>
        <v>4995</v>
      </c>
      <c r="K9" s="13">
        <f t="shared" si="1"/>
        <v>4985</v>
      </c>
      <c r="L9" s="13">
        <f t="shared" si="1"/>
        <v>5152</v>
      </c>
      <c r="M9" s="13">
        <f t="shared" si="1"/>
        <v>5119</v>
      </c>
      <c r="N9" s="13">
        <f t="shared" si="1"/>
        <v>5117</v>
      </c>
      <c r="O9" s="13">
        <f t="shared" si="1"/>
        <v>5166</v>
      </c>
      <c r="P9" s="13">
        <f t="shared" si="1"/>
        <v>5166</v>
      </c>
      <c r="Q9" s="13">
        <f t="shared" si="1"/>
        <v>5192</v>
      </c>
      <c r="R9" s="13">
        <f t="shared" si="1"/>
        <v>5207</v>
      </c>
    </row>
    <row r="10" spans="1:18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>
      <c r="B11" s="2" t="s">
        <v>134</v>
      </c>
      <c r="G11" s="15">
        <v>4600</v>
      </c>
      <c r="H11" s="15">
        <v>4591</v>
      </c>
      <c r="I11" s="15">
        <v>4582</v>
      </c>
      <c r="J11" s="15">
        <v>4582</v>
      </c>
      <c r="K11" s="15">
        <v>4572</v>
      </c>
      <c r="L11" s="15">
        <v>4751</v>
      </c>
      <c r="M11" s="15">
        <v>4718</v>
      </c>
      <c r="N11" s="15">
        <v>4716</v>
      </c>
      <c r="O11" s="15">
        <v>4765</v>
      </c>
      <c r="P11" s="15">
        <v>4765</v>
      </c>
      <c r="Q11" s="15">
        <v>4791</v>
      </c>
      <c r="R11" s="15">
        <v>4818</v>
      </c>
    </row>
    <row r="12" spans="1:18">
      <c r="B12" s="2" t="s">
        <v>135</v>
      </c>
      <c r="G12" s="15">
        <v>423</v>
      </c>
      <c r="H12" s="15">
        <v>422</v>
      </c>
      <c r="I12" s="15">
        <v>413</v>
      </c>
      <c r="J12" s="15">
        <v>413</v>
      </c>
      <c r="K12" s="15">
        <v>413</v>
      </c>
      <c r="L12" s="15">
        <v>401</v>
      </c>
      <c r="M12" s="15">
        <v>401</v>
      </c>
      <c r="N12" s="15">
        <v>401</v>
      </c>
      <c r="O12" s="15">
        <v>401</v>
      </c>
      <c r="P12" s="15">
        <v>401</v>
      </c>
      <c r="Q12" s="15">
        <v>401</v>
      </c>
      <c r="R12" s="15">
        <v>389</v>
      </c>
    </row>
    <row r="13" spans="1:18"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>
      <c r="A14" s="1" t="s">
        <v>136</v>
      </c>
      <c r="B14" s="1"/>
      <c r="C14" s="1"/>
      <c r="D14" s="1"/>
      <c r="E14" s="1"/>
      <c r="F14" s="1"/>
      <c r="G14" s="13">
        <f t="shared" ref="G14:R14" si="2">+G16+G17</f>
        <v>102049</v>
      </c>
      <c r="H14" s="13">
        <f t="shared" si="2"/>
        <v>102305</v>
      </c>
      <c r="I14" s="13">
        <f t="shared" si="2"/>
        <v>105735</v>
      </c>
      <c r="J14" s="13">
        <f t="shared" si="2"/>
        <v>112314</v>
      </c>
      <c r="K14" s="13">
        <f t="shared" si="2"/>
        <v>122647</v>
      </c>
      <c r="L14" s="13">
        <f t="shared" si="2"/>
        <v>129442</v>
      </c>
      <c r="M14" s="13">
        <f t="shared" si="2"/>
        <v>134153</v>
      </c>
      <c r="N14" s="13">
        <f t="shared" si="2"/>
        <v>142028</v>
      </c>
      <c r="O14" s="13">
        <f t="shared" si="2"/>
        <v>151471</v>
      </c>
      <c r="P14" s="13">
        <f t="shared" si="2"/>
        <v>143023</v>
      </c>
      <c r="Q14" s="13">
        <f t="shared" si="2"/>
        <v>138623</v>
      </c>
      <c r="R14" s="13">
        <f t="shared" si="2"/>
        <v>137668</v>
      </c>
    </row>
    <row r="15" spans="1:18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>
      <c r="B16" s="2" t="s">
        <v>134</v>
      </c>
      <c r="G16" s="15">
        <v>67745</v>
      </c>
      <c r="H16" s="15">
        <v>68737</v>
      </c>
      <c r="I16" s="15">
        <v>71202</v>
      </c>
      <c r="J16" s="15">
        <v>76105</v>
      </c>
      <c r="K16" s="15">
        <v>85988</v>
      </c>
      <c r="L16" s="15">
        <v>92530</v>
      </c>
      <c r="M16" s="15">
        <v>92604</v>
      </c>
      <c r="N16" s="15">
        <v>98933</v>
      </c>
      <c r="O16" s="15">
        <v>105480</v>
      </c>
      <c r="P16" s="15">
        <v>101668</v>
      </c>
      <c r="Q16" s="15">
        <v>99627</v>
      </c>
      <c r="R16" s="15">
        <v>99001</v>
      </c>
    </row>
    <row r="17" spans="1:18">
      <c r="B17" s="2" t="s">
        <v>135</v>
      </c>
      <c r="G17" s="15">
        <v>34304</v>
      </c>
      <c r="H17" s="15">
        <v>33568</v>
      </c>
      <c r="I17" s="15">
        <v>34533</v>
      </c>
      <c r="J17" s="15">
        <v>36209</v>
      </c>
      <c r="K17" s="15">
        <v>36659</v>
      </c>
      <c r="L17" s="15">
        <v>36912</v>
      </c>
      <c r="M17" s="15">
        <v>41549</v>
      </c>
      <c r="N17" s="15">
        <v>43095</v>
      </c>
      <c r="O17" s="15">
        <v>45991</v>
      </c>
      <c r="P17" s="15">
        <v>41355</v>
      </c>
      <c r="Q17" s="15">
        <v>38996</v>
      </c>
      <c r="R17" s="15">
        <v>38667</v>
      </c>
    </row>
    <row r="18" spans="1:18">
      <c r="G18" s="15"/>
    </row>
    <row r="19" spans="1:18">
      <c r="A19" s="9"/>
      <c r="B19" s="9"/>
      <c r="C19" s="9"/>
      <c r="D19" s="9"/>
      <c r="E19" s="9"/>
      <c r="F19" s="9"/>
    </row>
    <row r="20" spans="1:18">
      <c r="A20" s="2" t="s">
        <v>80</v>
      </c>
    </row>
    <row r="21" spans="1:18">
      <c r="A21" s="1"/>
    </row>
    <row r="22" spans="1:18">
      <c r="A22" s="1"/>
    </row>
    <row r="23" spans="1:18">
      <c r="A23" s="1"/>
    </row>
    <row r="24" spans="1:18">
      <c r="A24" s="1"/>
    </row>
    <row r="25" spans="1:18">
      <c r="A25" s="1"/>
    </row>
    <row r="26" spans="1:18">
      <c r="A26" s="11" t="s">
        <v>22</v>
      </c>
    </row>
    <row r="27" spans="1:18">
      <c r="A27" s="11" t="s">
        <v>68</v>
      </c>
    </row>
    <row r="28" spans="1:18">
      <c r="A28" s="11" t="s">
        <v>137</v>
      </c>
      <c r="F28" s="11"/>
    </row>
    <row r="29" spans="1:18">
      <c r="A29" s="83" t="s">
        <v>35</v>
      </c>
    </row>
    <row r="30" spans="1:18">
      <c r="F30" s="11"/>
    </row>
    <row r="31" spans="1:18">
      <c r="A31" s="11" t="s">
        <v>35</v>
      </c>
      <c r="F31" s="11"/>
    </row>
    <row r="32" spans="1:18">
      <c r="F32" s="11"/>
    </row>
    <row r="39" spans="7:7">
      <c r="G39" s="79"/>
    </row>
    <row r="40" spans="7:7">
      <c r="G40" s="11"/>
    </row>
    <row r="41" spans="7:7">
      <c r="G41" s="11"/>
    </row>
    <row r="42" spans="7:7">
      <c r="G42" s="11"/>
    </row>
    <row r="43" spans="7:7">
      <c r="G43" s="15"/>
    </row>
  </sheetData>
  <mergeCells count="1">
    <mergeCell ref="A5:F5"/>
  </mergeCells>
  <pageMargins left="0.74803149606299213" right="0" top="0.98425196850393704" bottom="0" header="0" footer="0"/>
  <pageSetup paperSize="9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35</vt:i4>
      </vt:variant>
    </vt:vector>
  </HeadingPairs>
  <TitlesOfParts>
    <vt:vector size="99" baseType="lpstr">
      <vt:lpstr>2024</vt:lpstr>
      <vt:lpstr>2024 (2)</vt:lpstr>
      <vt:lpstr>2023</vt:lpstr>
      <vt:lpstr>2023 (2)</vt:lpstr>
      <vt:lpstr>2022</vt:lpstr>
      <vt:lpstr>2022(2)</vt:lpstr>
      <vt:lpstr>2021</vt:lpstr>
      <vt:lpstr>2021 (2)</vt:lpstr>
      <vt:lpstr>2020</vt:lpstr>
      <vt:lpstr>2020 (2)</vt:lpstr>
      <vt:lpstr>2019</vt:lpstr>
      <vt:lpstr>2019 (2)</vt:lpstr>
      <vt:lpstr>2018</vt:lpstr>
      <vt:lpstr>2018 (2)</vt:lpstr>
      <vt:lpstr>2017</vt:lpstr>
      <vt:lpstr>2017 (2)</vt:lpstr>
      <vt:lpstr>2016</vt:lpstr>
      <vt:lpstr>2016 (2)</vt:lpstr>
      <vt:lpstr>2015</vt:lpstr>
      <vt:lpstr>2015 (2)</vt:lpstr>
      <vt:lpstr>2014</vt:lpstr>
      <vt:lpstr>2014 (2)</vt:lpstr>
      <vt:lpstr>2013 </vt:lpstr>
      <vt:lpstr>2013(2)</vt:lpstr>
      <vt:lpstr>2012</vt:lpstr>
      <vt:lpstr>2012(2)</vt:lpstr>
      <vt:lpstr>2011</vt:lpstr>
      <vt:lpstr>2011  (2)</vt:lpstr>
      <vt:lpstr>2010</vt:lpstr>
      <vt:lpstr>2010 (2)</vt:lpstr>
      <vt:lpstr>2009</vt:lpstr>
      <vt:lpstr>2009 (2)</vt:lpstr>
      <vt:lpstr>2008</vt:lpstr>
      <vt:lpstr>2008 (2)</vt:lpstr>
      <vt:lpstr>2007</vt:lpstr>
      <vt:lpstr> 2007 (2)</vt:lpstr>
      <vt:lpstr>2006</vt:lpstr>
      <vt:lpstr>2006 (2)</vt:lpstr>
      <vt:lpstr>2005</vt:lpstr>
      <vt:lpstr>2005 (2)</vt:lpstr>
      <vt:lpstr>2004</vt:lpstr>
      <vt:lpstr>2004 (2)</vt:lpstr>
      <vt:lpstr>2003</vt:lpstr>
      <vt:lpstr> 2003 (2)</vt:lpstr>
      <vt:lpstr>2002</vt:lpstr>
      <vt:lpstr> 2002 (2)</vt:lpstr>
      <vt:lpstr>2001</vt:lpstr>
      <vt:lpstr>2001 (2)</vt:lpstr>
      <vt:lpstr>2000</vt:lpstr>
      <vt:lpstr> 2000 (2)</vt:lpstr>
      <vt:lpstr>1999</vt:lpstr>
      <vt:lpstr>1999 (2)</vt:lpstr>
      <vt:lpstr>1998</vt:lpstr>
      <vt:lpstr> 1998 (2)</vt:lpstr>
      <vt:lpstr>1997</vt:lpstr>
      <vt:lpstr> 1997 (2)</vt:lpstr>
      <vt:lpstr>1996</vt:lpstr>
      <vt:lpstr> 1996 (2)</vt:lpstr>
      <vt:lpstr>1995</vt:lpstr>
      <vt:lpstr>1995 (2)</vt:lpstr>
      <vt:lpstr>1994</vt:lpstr>
      <vt:lpstr>1994(2)</vt:lpstr>
      <vt:lpstr>1993</vt:lpstr>
      <vt:lpstr>1993 (2)</vt:lpstr>
      <vt:lpstr>'2001'!Print_Area</vt:lpstr>
      <vt:lpstr>'2004'!Print_Area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'2011  (2)'!Print_Area</vt:lpstr>
      <vt:lpstr>'2012'!Print_Area</vt:lpstr>
      <vt:lpstr>'2012(2)'!Print_Area</vt:lpstr>
      <vt:lpstr>'2013 '!Print_Area</vt:lpstr>
      <vt:lpstr>'2013(2)'!Print_Area</vt:lpstr>
      <vt:lpstr>'2014'!Print_Area</vt:lpstr>
      <vt:lpstr>'2014 (2)'!Print_Area</vt:lpstr>
      <vt:lpstr>'2015'!Print_Area</vt:lpstr>
      <vt:lpstr>'2015 (2)'!Print_Area</vt:lpstr>
      <vt:lpstr>'2016'!Print_Area</vt:lpstr>
      <vt:lpstr>'2016 (2)'!Print_Area</vt:lpstr>
      <vt:lpstr>'2017'!Print_Area</vt:lpstr>
      <vt:lpstr>'2017 (2)'!Print_Area</vt:lpstr>
      <vt:lpstr>'2018'!Print_Area</vt:lpstr>
      <vt:lpstr>'2018 (2)'!Print_Area</vt:lpstr>
      <vt:lpstr>'2019'!Print_Area</vt:lpstr>
      <vt:lpstr>'2019 (2)'!Print_Area</vt:lpstr>
      <vt:lpstr>'2020'!Print_Area</vt:lpstr>
      <vt:lpstr>'2020 (2)'!Print_Area</vt:lpstr>
      <vt:lpstr>'2021'!Print_Area</vt:lpstr>
      <vt:lpstr>'2021 (2)'!Print_Area</vt:lpstr>
      <vt:lpstr>'2022'!Print_Area</vt:lpstr>
      <vt:lpstr>'2022(2)'!Print_Area</vt:lpstr>
      <vt:lpstr>'2023'!Print_Area</vt:lpstr>
      <vt:lpstr>'2023 (2)'!Print_Area</vt:lpstr>
      <vt:lpstr>'2024'!Print_Area</vt:lpstr>
      <vt:lpstr>'2024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NG Debt</dc:title>
  <dc:creator>SDAD</dc:creator>
  <cp:keywords>deb, 2015</cp:keywords>
  <dc:description>National Government Outstanding Guaranteed Debt as of period indicated</dc:description>
  <cp:lastModifiedBy>Lara T. Aduna</cp:lastModifiedBy>
  <cp:lastPrinted>2025-03-04T05:43:17Z</cp:lastPrinted>
  <dcterms:created xsi:type="dcterms:W3CDTF">2000-04-11T06:45:00Z</dcterms:created>
  <dcterms:modified xsi:type="dcterms:W3CDTF">2025-03-04T05:43:30Z</dcterms:modified>
  <cp:category>debt</cp:category>
</cp:coreProperties>
</file>